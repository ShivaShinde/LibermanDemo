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E435" i="11" s="1"/>
  <c r="B436" i="1"/>
  <c r="D436" i="1" s="1"/>
  <c r="I436" i="1"/>
  <c r="J436" i="1"/>
  <c r="A437" i="1"/>
  <c r="B437" i="1"/>
  <c r="D437" i="1" s="1"/>
  <c r="I437" i="1"/>
  <c r="J437" i="1"/>
  <c r="A438" i="1"/>
  <c r="E437" i="11" s="1"/>
  <c r="B438" i="1"/>
  <c r="D438" i="1" s="1"/>
  <c r="I438" i="1"/>
  <c r="J438" i="1"/>
  <c r="A439" i="1"/>
  <c r="B439" i="1"/>
  <c r="D439" i="1" s="1"/>
  <c r="I439" i="1"/>
  <c r="J439" i="1"/>
  <c r="A440" i="1"/>
  <c r="E439" i="11" s="1"/>
  <c r="B440" i="1"/>
  <c r="D440" i="1" s="1"/>
  <c r="I440" i="1"/>
  <c r="J440" i="1"/>
  <c r="A441" i="1"/>
  <c r="B441" i="1"/>
  <c r="D441" i="1" s="1"/>
  <c r="I441" i="1"/>
  <c r="J441" i="1"/>
  <c r="A442" i="1"/>
  <c r="E441" i="11" s="1"/>
  <c r="B442" i="1"/>
  <c r="D442" i="1" s="1"/>
  <c r="I442" i="1"/>
  <c r="J442" i="1"/>
  <c r="A352" i="1"/>
  <c r="B352" i="1"/>
  <c r="D352" i="1" s="1"/>
  <c r="I352" i="1"/>
  <c r="J352" i="1"/>
  <c r="A353" i="1"/>
  <c r="E352" i="11" s="1"/>
  <c r="B353" i="1"/>
  <c r="D353" i="1" s="1"/>
  <c r="I353" i="1"/>
  <c r="J353" i="1"/>
  <c r="A354" i="1"/>
  <c r="B354" i="1"/>
  <c r="D354" i="1" s="1"/>
  <c r="I354" i="1"/>
  <c r="J354" i="1"/>
  <c r="A355" i="1"/>
  <c r="E354" i="11" s="1"/>
  <c r="B355" i="1"/>
  <c r="D355" i="1" s="1"/>
  <c r="I355" i="1"/>
  <c r="J355" i="1"/>
  <c r="A356" i="1"/>
  <c r="B356" i="1"/>
  <c r="D356" i="1" s="1"/>
  <c r="I356" i="1"/>
  <c r="J356" i="1"/>
  <c r="A357" i="1"/>
  <c r="E356" i="11" s="1"/>
  <c r="B357" i="1"/>
  <c r="D357" i="1" s="1"/>
  <c r="I357" i="1"/>
  <c r="J357" i="1"/>
  <c r="A358" i="1"/>
  <c r="B358" i="1"/>
  <c r="D358" i="1" s="1"/>
  <c r="I358" i="1"/>
  <c r="J358" i="1"/>
  <c r="A359" i="1"/>
  <c r="E358" i="11" s="1"/>
  <c r="B359" i="1"/>
  <c r="D359" i="1" s="1"/>
  <c r="I359" i="1"/>
  <c r="J359" i="1"/>
  <c r="A360" i="1"/>
  <c r="B360" i="1"/>
  <c r="D360" i="1" s="1"/>
  <c r="I360" i="1"/>
  <c r="J360" i="1"/>
  <c r="A361" i="1"/>
  <c r="E360" i="11" s="1"/>
  <c r="B361" i="1"/>
  <c r="D361" i="1" s="1"/>
  <c r="I361" i="1"/>
  <c r="J361" i="1"/>
  <c r="A362" i="1"/>
  <c r="B362" i="1"/>
  <c r="D362" i="1" s="1"/>
  <c r="C361" i="11" s="1"/>
  <c r="I362" i="1"/>
  <c r="J362" i="1"/>
  <c r="A363" i="1"/>
  <c r="E362" i="11" s="1"/>
  <c r="B363" i="1"/>
  <c r="D363" i="1" s="1"/>
  <c r="C362" i="11" s="1"/>
  <c r="I363" i="1"/>
  <c r="J363" i="1"/>
  <c r="A364" i="1"/>
  <c r="B364" i="1"/>
  <c r="D364" i="1" s="1"/>
  <c r="I364" i="1"/>
  <c r="J364" i="1"/>
  <c r="A365" i="1"/>
  <c r="E364" i="11" s="1"/>
  <c r="B365" i="1"/>
  <c r="D365" i="1" s="1"/>
  <c r="C364" i="11" s="1"/>
  <c r="I365" i="1"/>
  <c r="J365" i="1"/>
  <c r="A366" i="1"/>
  <c r="B366" i="1"/>
  <c r="I366" i="1"/>
  <c r="J366" i="1"/>
  <c r="A367" i="1"/>
  <c r="E366" i="11" s="1"/>
  <c r="B367" i="1"/>
  <c r="I367" i="1"/>
  <c r="J367" i="1"/>
  <c r="A368" i="1"/>
  <c r="E367" i="11" s="1"/>
  <c r="B368" i="1"/>
  <c r="I368" i="1"/>
  <c r="J368" i="1"/>
  <c r="A369" i="1"/>
  <c r="E368" i="11" s="1"/>
  <c r="B369" i="1"/>
  <c r="I369" i="1"/>
  <c r="J369" i="1"/>
  <c r="A370" i="1"/>
  <c r="E369" i="11" s="1"/>
  <c r="B370" i="1"/>
  <c r="I370" i="1"/>
  <c r="J370" i="1"/>
  <c r="A371" i="1"/>
  <c r="E370" i="11" s="1"/>
  <c r="B371" i="1"/>
  <c r="I371" i="1"/>
  <c r="J371" i="1"/>
  <c r="A372" i="1"/>
  <c r="E371" i="11" s="1"/>
  <c r="B372" i="1"/>
  <c r="I372" i="1"/>
  <c r="J372" i="1"/>
  <c r="A373" i="1"/>
  <c r="E372" i="11" s="1"/>
  <c r="B373" i="1"/>
  <c r="I373" i="1"/>
  <c r="J373" i="1"/>
  <c r="A374" i="1"/>
  <c r="E373" i="11" s="1"/>
  <c r="B374" i="1"/>
  <c r="I374" i="1"/>
  <c r="J374" i="1"/>
  <c r="A375" i="1"/>
  <c r="E374" i="11" s="1"/>
  <c r="B375" i="1"/>
  <c r="I375" i="1"/>
  <c r="J375" i="1"/>
  <c r="A376" i="1"/>
  <c r="E375" i="11" s="1"/>
  <c r="B376" i="1"/>
  <c r="I376" i="1"/>
  <c r="J376" i="1"/>
  <c r="A377" i="1"/>
  <c r="E376" i="11" s="1"/>
  <c r="B377" i="1"/>
  <c r="I377" i="1"/>
  <c r="J377" i="1"/>
  <c r="A378" i="1"/>
  <c r="E377" i="11" s="1"/>
  <c r="B378" i="1"/>
  <c r="I378" i="1"/>
  <c r="J378" i="1"/>
  <c r="A379" i="1"/>
  <c r="E378" i="11" s="1"/>
  <c r="B379" i="1"/>
  <c r="I379" i="1"/>
  <c r="J379" i="1"/>
  <c r="A380" i="1"/>
  <c r="E379" i="11" s="1"/>
  <c r="B380" i="1"/>
  <c r="I380" i="1"/>
  <c r="J380" i="1"/>
  <c r="A381" i="1"/>
  <c r="E380" i="11" s="1"/>
  <c r="B381" i="1"/>
  <c r="I381" i="1"/>
  <c r="J381" i="1"/>
  <c r="A382" i="1"/>
  <c r="E381" i="11" s="1"/>
  <c r="B382" i="1"/>
  <c r="I382" i="1"/>
  <c r="J382" i="1"/>
  <c r="A383" i="1"/>
  <c r="E382" i="11" s="1"/>
  <c r="B383" i="1"/>
  <c r="I383" i="1"/>
  <c r="J383" i="1"/>
  <c r="A384" i="1"/>
  <c r="E383" i="11" s="1"/>
  <c r="B384" i="1"/>
  <c r="I384" i="1"/>
  <c r="J384" i="1"/>
  <c r="A385" i="1"/>
  <c r="E384" i="11" s="1"/>
  <c r="B385" i="1"/>
  <c r="I385" i="1"/>
  <c r="J385" i="1"/>
  <c r="A386" i="1"/>
  <c r="E385" i="11" s="1"/>
  <c r="B386" i="1"/>
  <c r="I386" i="1"/>
  <c r="J386" i="1"/>
  <c r="A387" i="1"/>
  <c r="E386" i="11" s="1"/>
  <c r="B387" i="1"/>
  <c r="I387" i="1"/>
  <c r="J387" i="1"/>
  <c r="A388" i="1"/>
  <c r="E387" i="11" s="1"/>
  <c r="B388" i="1"/>
  <c r="I388" i="1"/>
  <c r="J388" i="1"/>
  <c r="A389" i="1"/>
  <c r="E388" i="11" s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E400" i="11" s="1"/>
  <c r="B401" i="1"/>
  <c r="D401" i="1" s="1"/>
  <c r="I401" i="1"/>
  <c r="J401" i="1"/>
  <c r="A402" i="1"/>
  <c r="E401" i="11" s="1"/>
  <c r="B402" i="1"/>
  <c r="I402" i="1"/>
  <c r="J402" i="1"/>
  <c r="A403" i="1"/>
  <c r="E402" i="11" s="1"/>
  <c r="B403" i="1"/>
  <c r="I403" i="1"/>
  <c r="J403" i="1"/>
  <c r="A404" i="1"/>
  <c r="E403" i="11" s="1"/>
  <c r="B404" i="1"/>
  <c r="I404" i="1"/>
  <c r="J404" i="1"/>
  <c r="A405" i="1"/>
  <c r="E404" i="11" s="1"/>
  <c r="B405" i="1"/>
  <c r="I405" i="1"/>
  <c r="J405" i="1"/>
  <c r="A406" i="1"/>
  <c r="E405" i="11" s="1"/>
  <c r="B406" i="1"/>
  <c r="I406" i="1"/>
  <c r="J406" i="1"/>
  <c r="A407" i="1"/>
  <c r="E406" i="11" s="1"/>
  <c r="B407" i="1"/>
  <c r="I407" i="1"/>
  <c r="J407" i="1"/>
  <c r="A408" i="1"/>
  <c r="E407" i="11" s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F366" i="11"/>
  <c r="G366" i="11"/>
  <c r="H366" i="11"/>
  <c r="B367" i="11"/>
  <c r="D367" i="11"/>
  <c r="F367" i="11"/>
  <c r="G367" i="11"/>
  <c r="H367" i="11"/>
  <c r="B368" i="11"/>
  <c r="D368" i="11"/>
  <c r="F368" i="11"/>
  <c r="G368" i="11"/>
  <c r="H368" i="11"/>
  <c r="B369" i="11"/>
  <c r="D369" i="11"/>
  <c r="F369" i="11"/>
  <c r="G369" i="11"/>
  <c r="H369" i="11"/>
  <c r="B370" i="11"/>
  <c r="D370" i="11"/>
  <c r="F370" i="11"/>
  <c r="G370" i="11"/>
  <c r="H370" i="11"/>
  <c r="B371" i="11"/>
  <c r="D371" i="11"/>
  <c r="F371" i="11"/>
  <c r="G371" i="11"/>
  <c r="H371" i="11"/>
  <c r="B372" i="11"/>
  <c r="D372" i="11"/>
  <c r="F372" i="11"/>
  <c r="G372" i="11"/>
  <c r="H372" i="11"/>
  <c r="B373" i="11"/>
  <c r="D373" i="11"/>
  <c r="F373" i="11"/>
  <c r="G373" i="11"/>
  <c r="H373" i="11"/>
  <c r="B374" i="11"/>
  <c r="D374" i="11"/>
  <c r="F374" i="11"/>
  <c r="G374" i="11"/>
  <c r="H374" i="11"/>
  <c r="B375" i="11"/>
  <c r="D375" i="11"/>
  <c r="F375" i="11"/>
  <c r="G375" i="11"/>
  <c r="H375" i="11"/>
  <c r="B376" i="11"/>
  <c r="D376" i="11"/>
  <c r="F376" i="11"/>
  <c r="G376" i="11"/>
  <c r="H376" i="11"/>
  <c r="B377" i="11"/>
  <c r="D377" i="11"/>
  <c r="F377" i="11"/>
  <c r="G377" i="11"/>
  <c r="H377" i="11"/>
  <c r="B378" i="11"/>
  <c r="D378" i="11"/>
  <c r="F378" i="11"/>
  <c r="G378" i="11"/>
  <c r="H378" i="11"/>
  <c r="B379" i="11"/>
  <c r="D379" i="11"/>
  <c r="F379" i="11"/>
  <c r="G379" i="11"/>
  <c r="H379" i="11"/>
  <c r="B380" i="11"/>
  <c r="D380" i="11"/>
  <c r="F380" i="11"/>
  <c r="G380" i="11"/>
  <c r="H380" i="11"/>
  <c r="B381" i="11"/>
  <c r="D381" i="11"/>
  <c r="F381" i="11"/>
  <c r="G381" i="11"/>
  <c r="H381" i="11"/>
  <c r="B382" i="11"/>
  <c r="D382" i="11"/>
  <c r="F382" i="11"/>
  <c r="G382" i="11"/>
  <c r="H382" i="11"/>
  <c r="B383" i="11"/>
  <c r="D383" i="11"/>
  <c r="F383" i="11"/>
  <c r="G383" i="11"/>
  <c r="H383" i="11"/>
  <c r="B384" i="11"/>
  <c r="D384" i="11"/>
  <c r="F384" i="11"/>
  <c r="G384" i="11"/>
  <c r="H384" i="11"/>
  <c r="B385" i="11"/>
  <c r="D385" i="11"/>
  <c r="F385" i="11"/>
  <c r="G385" i="11"/>
  <c r="H385" i="11"/>
  <c r="B386" i="11"/>
  <c r="D386" i="11"/>
  <c r="F386" i="11"/>
  <c r="G386" i="11"/>
  <c r="H386" i="11"/>
  <c r="B387" i="11"/>
  <c r="D387" i="11"/>
  <c r="F387" i="11"/>
  <c r="G387" i="11"/>
  <c r="H387" i="11"/>
  <c r="B388" i="11"/>
  <c r="D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F400" i="11"/>
  <c r="G400" i="11"/>
  <c r="H400" i="11"/>
  <c r="B401" i="11"/>
  <c r="D401" i="11"/>
  <c r="F401" i="11"/>
  <c r="G401" i="11"/>
  <c r="H401" i="11"/>
  <c r="B402" i="11"/>
  <c r="D402" i="11"/>
  <c r="F402" i="11"/>
  <c r="G402" i="11"/>
  <c r="H402" i="11"/>
  <c r="B403" i="11"/>
  <c r="D403" i="11"/>
  <c r="F403" i="11"/>
  <c r="G403" i="11"/>
  <c r="H403" i="11"/>
  <c r="B404" i="11"/>
  <c r="D404" i="11"/>
  <c r="F404" i="11"/>
  <c r="G404" i="11"/>
  <c r="H404" i="11"/>
  <c r="B405" i="11"/>
  <c r="D405" i="11"/>
  <c r="F405" i="11"/>
  <c r="G405" i="11"/>
  <c r="H405" i="11"/>
  <c r="B406" i="11"/>
  <c r="D406" i="11"/>
  <c r="F406" i="11"/>
  <c r="G406" i="11"/>
  <c r="H406" i="11"/>
  <c r="B407" i="11"/>
  <c r="D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C308" i="1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39" i="11" l="1"/>
  <c r="A349" i="11"/>
  <c r="BA308" i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<sst xmlns="http://schemas.openxmlformats.org/spreadsheetml/2006/main" count="90598" uniqueCount="45017">
  <si>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</si>
  <si>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</si>
  <si>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</si>
  <si>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</si>
  <si>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</si>
  <si>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</si>
  <si>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</si>
  <si>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</si>
  <si>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</si>
  <si>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</si>
  <si>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</si>
  <si>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</si>
  <si>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</si>
  <si>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</si>
  <si>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</si>
  <si>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</si>
  <si>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</si>
  <si>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</si>
  <si>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</si>
  <si>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</si>
  <si>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</si>
  <si>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</si>
  <si>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</si>
  <si>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</si>
  <si>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</si>
  <si>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</si>
  <si>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</si>
  <si>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</si>
  <si>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</si>
  <si>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</si>
  <si>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</si>
  <si>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</si>
  <si>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</si>
  <si>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</si>
  <si>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</si>
  <si>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</si>
  <si>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</si>
  <si>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</si>
  <si>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</si>
  <si>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</si>
  <si>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</si>
  <si>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</si>
  <si>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</si>
  <si>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</si>
  <si>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</si>
  <si>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</si>
  <si>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</si>
  <si>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</si>
  <si>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</si>
  <si>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</si>
  <si>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</si>
  <si>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</si>
  <si>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</si>
  <si>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</si>
  <si>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</si>
  <si>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</si>
  <si>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</si>
  <si>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</si>
  <si>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</si>
  <si>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</si>
  <si>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</si>
  <si>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</si>
  <si>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</si>
  <si>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</si>
  <si>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</si>
  <si>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</si>
  <si>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</si>
  <si>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</si>
  <si>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</si>
  <si>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</si>
  <si>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</si>
  <si>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</si>
  <si>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</si>
  <si>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</si>
  <si>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</si>
  <si>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</si>
  <si>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</si>
  <si>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</si>
  <si>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</si>
  <si>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</si>
  <si>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</si>
  <si>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</si>
  <si>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</si>
  <si>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</si>
  <si>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</si>
  <si>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</si>
  <si>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</si>
  <si>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</si>
  <si>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</si>
  <si>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</si>
  <si>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</si>
  <si>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</si>
  <si>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</si>
  <si>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</si>
  <si>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</si>
  <si>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</si>
  <si>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</si>
  <si>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</si>
  <si>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</si>
  <si>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</si>
  <si>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</si>
  <si>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</si>
  <si>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</si>
  <si>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</si>
  <si>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</si>
  <si>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</si>
  <si>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</si>
  <si>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</si>
  <si>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</si>
  <si>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</si>
  <si>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</si>
  <si>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</si>
  <si>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</si>
  <si>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</si>
  <si>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</si>
  <si>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</si>
  <si>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</si>
  <si>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</si>
  <si>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</si>
  <si>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</si>
  <si>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</si>
  <si>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</si>
  <si>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</si>
  <si>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</si>
  <si>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</si>
  <si>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</si>
  <si>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</si>
  <si>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</si>
  <si>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</si>
  <si>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</si>
  <si>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</si>
  <si>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</si>
  <si>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</si>
  <si>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</si>
  <si>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</si>
  <si>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</si>
  <si>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</si>
  <si>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</si>
  <si>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</si>
  <si>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</si>
  <si>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</si>
  <si>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</si>
  <si>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</si>
  <si>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</si>
  <si>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</si>
  <si>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</si>
  <si>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</si>
  <si>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</si>
  <si>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</si>
  <si>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</si>
  <si>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</si>
  <si>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</si>
  <si>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</si>
  <si>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</si>
  <si>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</si>
  <si>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</si>
  <si>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</si>
  <si>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</si>
  <si>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</si>
  <si>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</si>
  <si>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</si>
  <si>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</si>
  <si>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</si>
  <si>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</si>
  <si>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</si>
  <si>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</si>
  <si>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</si>
  <si>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</si>
  <si>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</si>
  <si>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</si>
  <si>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</si>
  <si>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</si>
  <si>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</si>
  <si>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</si>
  <si>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</si>
  <si>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</si>
  <si>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</si>
  <si>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</si>
  <si>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</si>
  <si>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</si>
  <si>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</si>
  <si>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</si>
  <si>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</si>
  <si>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</si>
  <si>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</si>
  <si>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</si>
  <si>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</si>
  <si>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</si>
  <si>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</si>
  <si>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</si>
  <si>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</si>
  <si>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</si>
  <si>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</si>
  <si>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</si>
  <si>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</si>
  <si>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</si>
  <si>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</si>
  <si>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</si>
  <si>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</si>
  <si>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</si>
  <si>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</si>
  <si>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</si>
  <si>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</si>
  <si>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</si>
  <si>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</si>
  <si>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</si>
  <si>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</si>
  <si>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</si>
  <si>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</si>
  <si>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</si>
  <si>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</si>
  <si>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</si>
  <si>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</si>
  <si>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</si>
  <si>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</si>
  <si>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</si>
  <si>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</si>
  <si>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</si>
  <si>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</si>
  <si>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</si>
  <si>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</si>
  <si>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</si>
  <si>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</si>
  <si>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</si>
  <si>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</si>
  <si>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</si>
  <si>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</si>
  <si>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</si>
  <si>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</si>
  <si>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</si>
  <si>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</si>
  <si>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</si>
  <si>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</si>
  <si>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</si>
  <si>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</si>
  <si>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</si>
  <si>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</si>
  <si>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</si>
  <si>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</si>
  <si>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</si>
  <si>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</si>
  <si>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</si>
  <si>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</si>
  <si>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</si>
  <si>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</si>
  <si>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</si>
  <si>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</si>
  <si>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</si>
  <si>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</si>
  <si>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</si>
  <si>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</si>
  <si>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</si>
  <si>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</si>
  <si>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</si>
  <si>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</si>
  <si>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</si>
  <si>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</si>
  <si>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</si>
  <si>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</si>
  <si>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</si>
  <si>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</si>
  <si>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</si>
  <si>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</si>
  <si>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</si>
  <si>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</si>
  <si>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</si>
  <si>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</si>
  <si>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</si>
  <si>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</si>
  <si>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</si>
  <si>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</si>
  <si>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</si>
  <si>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</si>
  <si>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</si>
  <si>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</si>
  <si>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</si>
  <si>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</si>
  <si>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</si>
  <si>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</si>
  <si>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</si>
  <si>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</si>
  <si>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</si>
  <si>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</si>
  <si>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</si>
  <si>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</si>
  <si>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</si>
  <si>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</si>
  <si>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</si>
  <si>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</si>
  <si>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</si>
  <si>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</si>
  <si>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</si>
  <si>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</si>
  <si>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</si>
  <si>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</si>
  <si>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</si>
  <si>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</si>
  <si>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</si>
  <si>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</si>
  <si>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</si>
  <si>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</si>
  <si>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</si>
  <si>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</si>
  <si>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</si>
  <si>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</si>
  <si>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</si>
  <si>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</si>
  <si>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</si>
  <si>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</si>
  <si>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</si>
  <si>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</si>
  <si>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</si>
  <si>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</si>
  <si>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</si>
  <si>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</si>
  <si>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</si>
  <si>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</si>
  <si>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</si>
  <si>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</si>
  <si>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</si>
  <si>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</si>
  <si>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</si>
  <si>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</si>
  <si>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</si>
  <si>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</si>
  <si>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</si>
  <si>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</si>
  <si>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</si>
  <si>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</si>
  <si>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</si>
  <si>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</si>
  <si>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</si>
  <si>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</si>
  <si>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</si>
  <si>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</si>
  <si>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</si>
  <si>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</si>
  <si>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</si>
  <si>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</si>
  <si>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</si>
  <si>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</si>
  <si>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</si>
  <si>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</si>
  <si>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</si>
  <si>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</si>
  <si>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</si>
  <si>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</si>
  <si>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</si>
  <si>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</si>
  <si>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</si>
  <si>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</si>
  <si>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</si>
  <si>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</si>
  <si>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</si>
  <si>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</si>
  <si>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</si>
  <si>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</si>
  <si>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</si>
  <si>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</si>
  <si>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</si>
  <si>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</si>
  <si>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</si>
  <si>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</si>
  <si>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</si>
  <si>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</si>
  <si>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</si>
  <si>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</si>
  <si>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</si>
  <si>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</si>
  <si>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</si>
  <si>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</si>
  <si>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</si>
  <si>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</si>
  <si>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</si>
  <si>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</si>
  <si>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</si>
  <si>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</si>
  <si>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</si>
  <si>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</si>
  <si>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</si>
  <si>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</si>
  <si>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</si>
  <si>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</si>
  <si>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</si>
  <si>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</si>
  <si>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</si>
  <si>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</si>
  <si>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</si>
  <si>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</si>
  <si>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</si>
  <si>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</si>
  <si>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</si>
  <si>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</si>
  <si>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</si>
  <si>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</si>
  <si>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</si>
  <si>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</si>
  <si>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</si>
  <si>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</si>
  <si>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</si>
  <si>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</si>
  <si>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</si>
  <si>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</si>
  <si>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</si>
  <si>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</si>
  <si>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</si>
  <si>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</si>
  <si>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</si>
  <si>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</si>
  <si>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</si>
  <si>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</si>
  <si>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</si>
  <si>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</si>
  <si>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</si>
  <si>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</si>
  <si>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</si>
  <si>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</si>
  <si>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</si>
  <si>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</si>
  <si>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</si>
  <si>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</si>
  <si>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</si>
  <si>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</si>
  <si>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</si>
  <si>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</si>
  <si>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</si>
  <si>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</si>
  <si>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</si>
  <si>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</si>
  <si>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</si>
  <si>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</si>
  <si>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</si>
  <si>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</si>
  <si>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</si>
  <si>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</si>
  <si>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</si>
  <si>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</si>
  <si>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</si>
  <si>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</si>
  <si>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</si>
  <si>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</si>
  <si>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</si>
  <si>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</si>
  <si>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</si>
  <si>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</si>
  <si>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</si>
  <si>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</si>
  <si>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</si>
  <si>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</si>
  <si>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</si>
  <si>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</si>
  <si>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</si>
  <si>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</si>
  <si>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</si>
  <si>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</si>
  <si>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</si>
  <si>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</si>
  <si>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</si>
  <si>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</si>
  <si>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</si>
  <si>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</si>
  <si>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</si>
  <si>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</si>
  <si>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</si>
  <si>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</si>
  <si>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</si>
  <si>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</si>
  <si>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</si>
  <si>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</si>
  <si>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</si>
  <si>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</si>
  <si>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</si>
  <si>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</si>
  <si>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</si>
  <si>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</si>
  <si>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</si>
  <si>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</si>
  <si>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</si>
  <si>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</si>
  <si>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</si>
  <si>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</si>
  <si>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</si>
  <si>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</si>
  <si>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</si>
  <si>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</si>
  <si>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</si>
  <si>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</si>
  <si>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</si>
  <si>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</si>
  <si>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</si>
  <si>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</si>
  <si>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</si>
  <si>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</si>
  <si>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</si>
  <si>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</si>
  <si>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</si>
  <si>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</si>
  <si>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</si>
  <si>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</si>
  <si>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</si>
  <si>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</si>
  <si>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</si>
  <si>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</si>
  <si>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</si>
  <si>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</si>
  <si>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</si>
  <si>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</si>
  <si>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</si>
  <si>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</si>
  <si>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</si>
  <si>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</si>
  <si>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</si>
  <si>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</si>
  <si>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</si>
  <si>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</si>
  <si>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</si>
  <si>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</si>
  <si>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</si>
  <si>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</si>
  <si>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</si>
  <si>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</si>
  <si>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</si>
  <si>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</si>
  <si>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</si>
  <si>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</si>
  <si>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</si>
  <si>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</si>
  <si>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</si>
  <si>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</si>
  <si>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</si>
  <si>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</si>
  <si>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</si>
  <si>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</si>
  <si>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</si>
  <si>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</si>
  <si>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</si>
  <si>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</si>
  <si>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</si>
  <si>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</si>
  <si>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</si>
  <si>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</si>
  <si>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</si>
  <si>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</si>
  <si>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</si>
  <si>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</si>
  <si>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</si>
  <si>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</si>
  <si>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</si>
  <si>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</si>
  <si>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</si>
  <si>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</si>
  <si>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</si>
  <si>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</si>
  <si>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</si>
  <si>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</si>
  <si>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</si>
  <si>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</si>
  <si>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</si>
  <si>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</si>
  <si>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</si>
  <si>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</si>
  <si>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</si>
  <si>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</si>
  <si>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</si>
  <si>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</si>
  <si>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</si>
  <si>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</si>
  <si>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</si>
  <si>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</si>
  <si>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</si>
  <si>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</si>
  <si>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</si>
  <si>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</si>
  <si>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</si>
  <si>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</si>
  <si>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</si>
  <si>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</si>
  <si>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</si>
  <si>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</si>
  <si>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</si>
  <si>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</si>
  <si>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</si>
  <si>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</si>
  <si>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</si>
  <si>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</si>
  <si>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</si>
  <si>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</si>
  <si>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</si>
  <si>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</si>
  <si>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</si>
  <si>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</si>
  <si>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</si>
  <si>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</si>
  <si>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</si>
  <si>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</si>
  <si>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</si>
  <si>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</si>
  <si>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</si>
  <si>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</si>
  <si>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</si>
  <si>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</si>
  <si>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</si>
  <si>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</si>
  <si>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</si>
  <si>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</si>
  <si>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</si>
  <si>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</si>
  <si>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</si>
  <si>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</si>
  <si>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</si>
  <si>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</si>
  <si>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</si>
  <si>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</si>
  <si>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</si>
  <si>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</si>
  <si>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</si>
  <si>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</si>
  <si>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</si>
  <si>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</si>
  <si>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</si>
  <si>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</si>
  <si>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</si>
  <si>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</si>
  <si>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</si>
  <si>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</si>
  <si>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</si>
  <si>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</si>
  <si>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</si>
  <si>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</si>
  <si>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</si>
  <si>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</si>
  <si>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</si>
  <si>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</si>
  <si>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</si>
  <si>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</si>
  <si>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</si>
  <si>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</si>
  <si>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</si>
  <si>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</si>
  <si>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</si>
  <si>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</si>
  <si>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</si>
  <si>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</si>
  <si>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</si>
  <si>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</si>
  <si>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</si>
  <si>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</si>
  <si>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</si>
  <si>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</si>
  <si>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</si>
  <si>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</si>
  <si>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</si>
  <si>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</si>
  <si>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</si>
  <si>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</si>
  <si>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</si>
  <si>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</si>
  <si>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</si>
  <si>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</si>
  <si>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</si>
  <si>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</si>
  <si>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</si>
  <si>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</si>
  <si>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</si>
  <si>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</si>
  <si>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</si>
  <si>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</si>
  <si>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</si>
  <si>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</si>
  <si>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</si>
  <si>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</si>
  <si>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</si>
  <si>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</si>
  <si>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</si>
  <si>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</si>
  <si>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</si>
  <si>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</si>
  <si>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</si>
  <si>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</si>
  <si>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</si>
  <si>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</si>
  <si>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</si>
  <si>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</si>
  <si>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</si>
  <si>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</si>
  <si>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</si>
  <si>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</si>
  <si>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</si>
  <si>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</si>
  <si>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</si>
  <si>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</si>
  <si>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</si>
  <si>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</si>
  <si>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</si>
  <si>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</si>
  <si>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</si>
  <si>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</si>
  <si>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</si>
  <si>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</si>
  <si>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</si>
  <si>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</si>
  <si>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</si>
  <si>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</si>
  <si>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</si>
  <si>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</si>
  <si>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</si>
  <si>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</si>
  <si>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</si>
  <si>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</si>
  <si>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</si>
  <si>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</si>
  <si>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</si>
  <si>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</si>
  <si>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</si>
  <si>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</si>
  <si>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</si>
  <si>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</si>
  <si>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</si>
  <si>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</si>
  <si>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</si>
  <si>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</si>
  <si>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</si>
  <si>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</si>
  <si>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</si>
  <si>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</si>
  <si>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</si>
  <si>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</si>
  <si>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</si>
  <si>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</si>
  <si>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</si>
  <si>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</si>
  <si>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</si>
  <si>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</si>
  <si>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</si>
  <si>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</si>
  <si>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</si>
  <si>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</si>
  <si>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</si>
  <si>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</si>
  <si>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</si>
  <si>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</si>
  <si>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</si>
  <si>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</si>
  <si>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</si>
  <si>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</si>
  <si>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</si>
  <si>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</si>
  <si>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</si>
  <si>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</si>
  <si>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</si>
  <si>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</si>
  <si>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</si>
  <si>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</si>
  <si>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</si>
  <si>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</si>
  <si>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</si>
  <si>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</si>
  <si>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</si>
  <si>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</si>
  <si>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</si>
  <si>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</si>
  <si>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</si>
  <si>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</si>
  <si>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</si>
  <si>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</si>
  <si>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</si>
  <si>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</si>
  <si>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</si>
  <si>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</si>
  <si>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</si>
  <si>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</si>
  <si>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</si>
  <si>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</si>
  <si>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</si>
  <si>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</si>
  <si>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</si>
  <si>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</si>
  <si>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</si>
  <si>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</si>
  <si>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</si>
  <si>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</si>
  <si>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</si>
  <si>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</si>
  <si>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</si>
  <si>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</si>
  <si>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</si>
  <si>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</si>
  <si>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</si>
  <si>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</si>
  <si>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</si>
  <si>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</si>
  <si>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</si>
  <si>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</si>
  <si>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</si>
  <si>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</si>
  <si>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</si>
  <si>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</si>
  <si>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</si>
  <si>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</si>
  <si>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</si>
  <si>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</si>
  <si>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</si>
  <si>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</si>
  <si>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</si>
  <si>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</si>
  <si>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</si>
  <si>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</si>
  <si>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</si>
  <si>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</si>
  <si>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</si>
  <si>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</si>
  <si>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</si>
  <si>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</si>
  <si>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</si>
  <si>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</si>
  <si>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</si>
  <si>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</si>
  <si>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</si>
  <si>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</si>
  <si>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</si>
  <si>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</si>
  <si>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</si>
  <si>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</si>
  <si>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</si>
  <si>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</si>
  <si>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</si>
  <si>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</si>
  <si>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</si>
  <si>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</si>
  <si>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</si>
  <si>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</si>
  <si>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</si>
  <si>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</si>
  <si>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</si>
  <si>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</si>
  <si>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</si>
  <si>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</si>
  <si>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</si>
  <si>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</si>
  <si>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</si>
  <si>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</si>
  <si>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</si>
  <si>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</si>
  <si>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</si>
  <si>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</si>
  <si>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</si>
  <si>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</si>
  <si>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</si>
  <si>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</si>
  <si>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</si>
  <si>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</si>
  <si>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</si>
  <si>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</si>
  <si>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</si>
  <si>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</si>
  <si>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</si>
  <si>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</si>
  <si>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</si>
  <si>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</si>
  <si>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</si>
  <si>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</si>
  <si>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</si>
  <si>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</si>
  <si>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</si>
  <si>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</si>
  <si>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</si>
  <si>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</si>
  <si>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</si>
  <si>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</si>
  <si>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</si>
  <si>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</si>
  <si>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</si>
  <si>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</si>
  <si>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</si>
  <si>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</si>
  <si>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</si>
  <si>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</si>
  <si>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</si>
  <si>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</si>
  <si>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</si>
  <si>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</si>
  <si>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</si>
  <si>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</si>
  <si>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</si>
  <si>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</si>
  <si>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</si>
  <si>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</si>
  <si>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</si>
  <si>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</si>
  <si>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</si>
  <si>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</si>
  <si>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</si>
  <si>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</si>
  <si>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</si>
  <si>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</si>
  <si>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</si>
  <si>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</si>
  <si>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</si>
  <si>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</si>
  <si>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</si>
  <si>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</si>
  <si>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</si>
  <si>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</si>
  <si>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</si>
  <si>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</si>
  <si>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</si>
  <si>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</si>
  <si>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</si>
  <si>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</si>
  <si>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</si>
  <si>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</si>
  <si>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</si>
  <si>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</si>
  <si>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</si>
  <si>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</si>
  <si>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</si>
  <si>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</si>
  <si>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</si>
  <si>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</si>
  <si>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</si>
  <si>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</si>
  <si>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</si>
  <si>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</si>
  <si>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</si>
  <si>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</si>
  <si>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</si>
  <si>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</si>
  <si>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</si>
  <si>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</si>
  <si>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</si>
  <si>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</si>
  <si>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</si>
  <si>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</si>
  <si>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</si>
  <si>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</si>
  <si>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</si>
  <si>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</si>
  <si>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</si>
  <si>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</si>
  <si>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</si>
  <si>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</si>
  <si>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</si>
  <si>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</si>
  <si>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</si>
  <si>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</si>
  <si>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</si>
  <si>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</si>
  <si>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</si>
  <si>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</si>
  <si>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</si>
  <si>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</si>
  <si>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</si>
  <si>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</si>
  <si>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</si>
  <si>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</si>
  <si>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</si>
  <si>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</si>
  <si>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</si>
  <si>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</si>
  <si>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</si>
  <si>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</si>
  <si>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</si>
  <si>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</si>
  <si>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</si>
  <si>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</si>
  <si>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</si>
  <si>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</si>
  <si>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</si>
  <si>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</si>
  <si>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</si>
  <si>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</si>
  <si>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</si>
  <si>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</si>
  <si>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</si>
  <si>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</si>
  <si>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</si>
  <si>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</si>
  <si>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</si>
  <si>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</si>
  <si>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</si>
  <si>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</si>
  <si>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</si>
  <si>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</si>
  <si>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</si>
  <si>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</si>
  <si>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</si>
  <si>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</si>
  <si>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</si>
  <si>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</si>
  <si>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</si>
  <si>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</si>
  <si>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</si>
  <si>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</si>
  <si>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</si>
  <si>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</si>
  <si>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</si>
  <si>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</si>
  <si>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</si>
  <si>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</si>
  <si>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</si>
  <si>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</si>
  <si>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</si>
  <si>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</si>
  <si>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</si>
  <si>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</si>
  <si>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</si>
  <si>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</si>
  <si>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</si>
  <si>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</si>
  <si>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</si>
  <si>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</si>
  <si>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</si>
  <si>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</si>
  <si>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</si>
  <si>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</si>
  <si>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</si>
  <si>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</si>
  <si>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</si>
  <si>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</si>
  <si>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</si>
  <si>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</si>
  <si>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</si>
  <si>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</si>
  <si>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</si>
  <si>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</si>
  <si>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</si>
  <si>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</si>
  <si>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</si>
  <si>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</si>
  <si>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</si>
  <si>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</si>
  <si>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</si>
  <si>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</si>
  <si>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</si>
  <si>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</si>
  <si>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</si>
  <si>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</si>
  <si>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</si>
  <si>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</si>
  <si>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</si>
  <si>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</si>
  <si>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</si>
  <si>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</si>
  <si>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</si>
  <si>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</si>
  <si>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</si>
  <si>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</si>
  <si>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</si>
  <si>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</si>
  <si>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</si>
  <si>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</si>
  <si>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</si>
  <si>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</si>
  <si>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</si>
  <si>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</si>
  <si>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</si>
  <si>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</si>
  <si>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</si>
  <si>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</si>
  <si>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</si>
  <si>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</si>
  <si>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</si>
  <si>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</si>
  <si>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</si>
  <si>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</si>
  <si>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</si>
  <si>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</si>
  <si>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</si>
  <si>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</si>
  <si>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</si>
  <si>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</si>
  <si>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</si>
  <si>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</si>
  <si>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</si>
  <si>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</si>
  <si>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</si>
  <si>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</si>
  <si>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</si>
  <si>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</si>
  <si>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</si>
  <si>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</si>
  <si>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</si>
  <si>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</si>
  <si>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</si>
  <si>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</si>
  <si>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</si>
  <si>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</si>
  <si>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</si>
  <si>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</si>
  <si>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</si>
  <si>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</si>
  <si>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</si>
  <si>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</si>
  <si>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</si>
  <si>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</si>
  <si>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</si>
  <si>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</si>
  <si>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</si>
  <si>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</si>
  <si>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</si>
  <si>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</si>
  <si>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</si>
  <si>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</si>
  <si>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</si>
  <si>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</si>
  <si>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</si>
  <si>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</si>
  <si>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</si>
  <si>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</si>
  <si>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</si>
  <si>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</si>
  <si>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</si>
  <si>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</si>
  <si>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</si>
  <si>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</si>
  <si>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</si>
  <si>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</si>
  <si>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</si>
  <si>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</si>
  <si>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</si>
  <si>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</si>
  <si>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</si>
  <si>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</si>
  <si>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</si>
  <si>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</si>
  <si>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</si>
  <si>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</si>
  <si>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</si>
  <si>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</si>
  <si>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</si>
  <si>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</si>
  <si>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</si>
  <si>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</si>
  <si>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</si>
  <si>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</si>
  <si>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</si>
  <si>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</si>
  <si>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</si>
  <si>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</si>
  <si>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</si>
  <si>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</si>
  <si>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</si>
  <si>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</si>
  <si>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</si>
  <si>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</si>
  <si>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</si>
  <si>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</si>
  <si>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</si>
  <si>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</si>
  <si>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</si>
  <si>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</si>
  <si>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</si>
  <si>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</si>
  <si>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</si>
  <si>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</si>
  <si>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</si>
  <si>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</si>
  <si>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</si>
  <si>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</si>
  <si>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</si>
  <si>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</si>
  <si>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</si>
  <si>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</si>
  <si>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</si>
  <si>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</si>
  <si>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</si>
  <si>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</si>
  <si>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</si>
  <si>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</si>
  <si>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</si>
  <si>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</si>
  <si>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</si>
  <si>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</si>
  <si>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</si>
  <si>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</si>
  <si>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</si>
  <si>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</si>
  <si>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</si>
  <si>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</si>
  <si>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</si>
  <si>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</si>
  <si>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</si>
  <si>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</si>
  <si>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</si>
  <si>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</si>
  <si>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</si>
  <si>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</si>
  <si>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</si>
  <si>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</si>
  <si>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</si>
  <si>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</si>
  <si>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</si>
  <si>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</si>
  <si>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</si>
  <si>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</si>
  <si>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</si>
  <si>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</si>
  <si>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</si>
  <si>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</si>
  <si>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</si>
  <si>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</si>
  <si>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</si>
  <si>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</si>
  <si>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</si>
  <si>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</si>
  <si>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</si>
  <si>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</si>
  <si>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</si>
  <si>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</si>
  <si>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</si>
  <si>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</si>
  <si>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</si>
  <si>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</si>
  <si>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</si>
  <si>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</si>
  <si>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</si>
  <si>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</si>
  <si>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</si>
  <si>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</si>
  <si>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</si>
  <si>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</si>
  <si>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</si>
  <si>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</si>
  <si>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</si>
  <si>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</si>
  <si>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</si>
  <si>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</si>
  <si>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</si>
  <si>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</si>
  <si>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</si>
  <si>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</si>
  <si>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</si>
  <si>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</si>
  <si>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</si>
  <si>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</si>
  <si>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</si>
  <si>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</si>
  <si>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</si>
  <si>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</si>
  <si>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</si>
  <si>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</si>
  <si>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</si>
  <si>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</si>
  <si>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</si>
  <si>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</si>
  <si>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</si>
  <si>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</si>
  <si>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</si>
  <si>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</si>
  <si>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</si>
  <si>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</si>
  <si>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</si>
  <si>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</si>
  <si>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</si>
  <si>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</si>
  <si>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</si>
  <si>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</si>
  <si>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</si>
  <si>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</si>
  <si>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</si>
  <si>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</si>
  <si>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</si>
  <si>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</si>
  <si>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</si>
  <si>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</si>
  <si>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</si>
  <si>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</si>
  <si>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</si>
  <si>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</si>
  <si>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</si>
  <si>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</si>
  <si>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</si>
  <si>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</si>
  <si>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</si>
  <si>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</si>
  <si>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</si>
  <si>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</si>
  <si>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</si>
  <si>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</si>
  <si>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</si>
  <si>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</si>
  <si>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</si>
  <si>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</si>
  <si>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</si>
  <si>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</si>
  <si>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</si>
  <si>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</si>
  <si>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</si>
  <si>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</si>
  <si>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</si>
  <si>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</si>
  <si>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</si>
  <si>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</si>
  <si>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</si>
  <si>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</si>
  <si>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</si>
  <si>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</si>
  <si>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</si>
  <si>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</si>
  <si>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</si>
  <si>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</si>
  <si>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</si>
  <si>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</si>
  <si>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</si>
  <si>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</si>
  <si>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</si>
  <si>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</si>
  <si>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</si>
  <si>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</si>
  <si>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</si>
  <si>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</si>
  <si>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</si>
  <si>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</si>
  <si>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</si>
  <si>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</si>
  <si>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</si>
  <si>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</si>
  <si>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</si>
  <si>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</si>
  <si>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</si>
  <si>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</si>
  <si>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</si>
  <si>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</si>
  <si>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</si>
  <si>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</si>
  <si>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</si>
  <si>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</si>
  <si>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</si>
  <si>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</si>
  <si>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</si>
  <si>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</si>
  <si>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</si>
  <si>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</si>
  <si>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</si>
  <si>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</si>
  <si>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</si>
  <si>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</si>
  <si>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</si>
  <si>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</si>
  <si>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</si>
  <si>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</si>
  <si>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</si>
  <si>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</si>
  <si>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</si>
  <si>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</si>
  <si>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</si>
  <si>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</si>
  <si>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</si>
  <si>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</si>
  <si>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</si>
  <si>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</si>
  <si>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</si>
  <si>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</si>
  <si>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</si>
  <si>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</si>
  <si>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</si>
  <si>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</si>
  <si>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</si>
  <si>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</si>
  <si>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</si>
  <si>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</si>
  <si>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</si>
  <si>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</si>
  <si>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</si>
  <si>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</si>
  <si>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</si>
  <si>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</si>
  <si>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</si>
  <si>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</si>
  <si>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</si>
  <si>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</si>
  <si>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</si>
  <si>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</si>
  <si>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</si>
  <si>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</si>
  <si>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</si>
  <si>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</si>
  <si>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</si>
  <si>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</si>
  <si>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</si>
  <si>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</si>
  <si>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</si>
  <si>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</si>
  <si>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</si>
  <si>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</si>
  <si>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</si>
  <si>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</si>
  <si>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</si>
  <si>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</si>
  <si>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</si>
  <si>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</si>
  <si>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</si>
  <si>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</si>
  <si>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</si>
  <si>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</si>
  <si>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</si>
  <si>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</si>
  <si>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</si>
  <si>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</si>
  <si>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</si>
  <si>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</si>
  <si>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</si>
  <si>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</si>
  <si>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</si>
  <si>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</si>
  <si>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</si>
  <si>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</si>
  <si>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</si>
  <si>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</si>
  <si>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</si>
  <si>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</si>
  <si>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</si>
  <si>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</si>
  <si>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</si>
  <si>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</si>
  <si>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</si>
  <si>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</si>
  <si>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</si>
  <si>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</si>
  <si>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</si>
  <si>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</si>
  <si>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</si>
  <si>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</si>
  <si>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</si>
  <si>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</si>
  <si>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</si>
  <si>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</si>
  <si>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</si>
  <si>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</si>
  <si>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</si>
  <si>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</si>
  <si>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</si>
  <si>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</si>
  <si>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</si>
  <si>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</si>
  <si>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</si>
  <si>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</si>
  <si>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</si>
  <si>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</si>
  <si>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</si>
  <si>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</si>
  <si>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</si>
  <si>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</si>
  <si>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</si>
  <si>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</si>
  <si>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</si>
  <si>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</si>
  <si>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</si>
  <si>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</si>
  <si>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</si>
  <si>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</si>
  <si>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</si>
  <si>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</si>
  <si>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</si>
  <si>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</si>
  <si>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</si>
  <si>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</si>
  <si>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</si>
  <si>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</si>
  <si>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</si>
  <si>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</si>
  <si>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</si>
  <si>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</si>
  <si>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</si>
  <si>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</si>
  <si>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</si>
  <si>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</si>
  <si>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</si>
  <si>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</si>
  <si>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</si>
  <si>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</si>
  <si>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</si>
  <si>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</si>
  <si>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</si>
  <si>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</si>
  <si>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</si>
  <si>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</si>
  <si>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</si>
  <si>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</si>
  <si>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</si>
  <si>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</si>
  <si>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</si>
  <si>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</si>
  <si>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</si>
  <si>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</si>
  <si>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</si>
  <si>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</si>
  <si>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</si>
  <si>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</si>
  <si>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</si>
  <si>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</si>
  <si>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</si>
  <si>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</si>
  <si>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</si>
  <si>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</si>
  <si>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</si>
  <si>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</si>
  <si>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</si>
  <si>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</si>
  <si>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</si>
  <si>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</si>
  <si>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</si>
  <si>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</si>
  <si>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</si>
  <si>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</si>
  <si>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</si>
  <si>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</si>
  <si>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</si>
  <si>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</si>
  <si>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</si>
  <si>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</si>
  <si>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</si>
  <si>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</si>
  <si>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</si>
  <si>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</si>
  <si>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</si>
  <si>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</si>
  <si>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</si>
  <si>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</si>
  <si>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</si>
  <si>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</si>
  <si>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</si>
  <si>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</si>
  <si>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</si>
  <si>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</si>
  <si>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</si>
  <si>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</si>
  <si>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</si>
  <si>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</si>
  <si>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</si>
  <si>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</si>
  <si>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</si>
  <si>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</si>
  <si>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</si>
  <si>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</si>
  <si>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</si>
  <si>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</si>
  <si>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</si>
  <si>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</si>
  <si>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</si>
  <si>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</si>
  <si>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</si>
  <si>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</si>
  <si>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</si>
  <si>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</si>
  <si>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</si>
  <si>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</si>
  <si>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</si>
  <si>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</si>
  <si>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</si>
  <si>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</si>
  <si>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</si>
  <si>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</si>
  <si>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</si>
  <si>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</si>
  <si>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</si>
  <si>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</si>
  <si>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</si>
  <si>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</si>
  <si>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</si>
  <si>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</si>
  <si>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</si>
  <si>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</si>
  <si>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</si>
  <si>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</si>
  <si>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</si>
  <si>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</si>
  <si>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</si>
  <si>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</si>
  <si>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</si>
  <si>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</si>
  <si>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</si>
  <si>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</si>
  <si>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</si>
  <si>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</si>
  <si>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</si>
  <si>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</si>
  <si>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</si>
  <si>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</si>
  <si>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</si>
  <si>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</si>
  <si>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</si>
  <si>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</si>
  <si>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</si>
  <si>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</si>
  <si>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</si>
  <si>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</si>
  <si>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</si>
  <si>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</si>
  <si>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</si>
  <si>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</si>
  <si>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</si>
  <si>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</si>
  <si>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</si>
  <si>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</si>
  <si>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</si>
  <si>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</si>
  <si>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</si>
  <si>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</si>
  <si>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</si>
  <si>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</si>
  <si>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</si>
  <si>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</si>
  <si>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</si>
  <si>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</si>
  <si>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</si>
  <si>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</si>
  <si>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</si>
  <si>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</si>
  <si>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</si>
  <si>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</si>
  <si>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</si>
  <si>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</si>
  <si>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</si>
  <si>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</si>
  <si>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</si>
  <si>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</si>
  <si>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</si>
  <si>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</si>
  <si>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</si>
  <si>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</si>
  <si>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</si>
  <si>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</si>
  <si>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</si>
  <si>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</si>
  <si>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</si>
  <si>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</si>
  <si>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</si>
  <si>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</si>
  <si>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</si>
  <si>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</si>
  <si>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</si>
  <si>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</si>
  <si>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</si>
  <si>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</si>
  <si>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</si>
  <si>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</si>
  <si>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</si>
  <si>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</si>
  <si>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</si>
  <si>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</si>
  <si>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</si>
  <si>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</si>
  <si>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</si>
  <si>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</si>
  <si>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</si>
  <si>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</si>
  <si>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</si>
  <si>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</si>
  <si>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</si>
  <si>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</si>
  <si>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</si>
  <si>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</si>
  <si>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</si>
  <si>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</si>
  <si>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</si>
  <si>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</si>
  <si>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</si>
  <si>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</si>
  <si>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</si>
  <si>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</si>
  <si>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</si>
  <si>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</si>
  <si>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</si>
  <si>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</si>
  <si>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</si>
  <si>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</si>
  <si>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</si>
  <si>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</si>
  <si>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</si>
  <si>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</si>
  <si>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</si>
  <si>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</si>
  <si>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</si>
  <si>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</si>
  <si>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</si>
  <si>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</si>
  <si>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</si>
  <si>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</si>
  <si>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</si>
  <si>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</si>
  <si>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</si>
  <si>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</si>
  <si>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</si>
  <si>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</si>
  <si>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</si>
  <si>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</si>
  <si>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</si>
  <si>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</si>
  <si>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</si>
  <si>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</si>
  <si>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</si>
  <si>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</si>
  <si>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</si>
  <si>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</si>
  <si>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</si>
  <si>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</si>
  <si>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</si>
  <si>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</si>
  <si>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</si>
  <si>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</si>
  <si>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</si>
  <si>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</si>
  <si>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</si>
  <si>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</si>
  <si>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</si>
  <si>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</si>
  <si>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</si>
  <si>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</si>
  <si>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</si>
  <si>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</si>
  <si>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</si>
  <si>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</si>
  <si>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</si>
  <si>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</si>
  <si>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</si>
  <si>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</si>
  <si>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</si>
  <si>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</si>
  <si>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</si>
  <si>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</si>
  <si>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</si>
  <si>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</si>
  <si>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</si>
  <si>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</si>
  <si>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</si>
  <si>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</si>
  <si>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</si>
  <si>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</si>
  <si>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</si>
  <si>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</si>
  <si>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</si>
  <si>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</si>
  <si>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</si>
  <si>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</si>
  <si>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</si>
  <si>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</si>
  <si>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</si>
  <si>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</si>
  <si>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</si>
  <si>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</si>
  <si>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</si>
  <si>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</si>
  <si>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</si>
  <si>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</si>
  <si>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</si>
  <si>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</si>
  <si>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</si>
  <si>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</si>
  <si>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</si>
  <si>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</si>
  <si>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</si>
  <si>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</si>
  <si>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</si>
  <si>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</si>
  <si>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</si>
  <si>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</si>
  <si>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</si>
  <si>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</si>
  <si>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</si>
  <si>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</si>
  <si>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</si>
  <si>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</si>
  <si>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</si>
  <si>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</si>
  <si>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</si>
  <si>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</si>
  <si>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</si>
  <si>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</si>
  <si>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</si>
  <si>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</si>
  <si>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</si>
  <si>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</si>
  <si>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</si>
  <si>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</si>
  <si>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</si>
  <si>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</si>
  <si>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</si>
  <si>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</si>
  <si>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</si>
  <si>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</si>
  <si>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</si>
  <si>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</si>
  <si>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</si>
  <si>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</si>
  <si>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</si>
  <si>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</si>
  <si>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</si>
  <si>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</si>
  <si>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</si>
  <si>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</si>
  <si>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</si>
  <si>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</si>
  <si>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</si>
  <si>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</si>
  <si>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</si>
  <si>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</si>
  <si>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</si>
  <si>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</si>
  <si>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</si>
  <si>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</si>
  <si>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</si>
  <si>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</si>
  <si>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</si>
  <si>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</si>
  <si>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</si>
  <si>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</si>
  <si>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</si>
  <si>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</si>
  <si>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</si>
  <si>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</si>
  <si>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</si>
  <si>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</si>
  <si>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</si>
  <si>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</si>
  <si>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</si>
  <si>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</si>
  <si>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</si>
  <si>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</si>
  <si>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</si>
  <si>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</si>
  <si>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</si>
  <si>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</si>
  <si>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</si>
  <si>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</si>
  <si>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</si>
  <si>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</si>
  <si>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</si>
  <si>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</si>
  <si>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</si>
  <si>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</si>
  <si>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</si>
  <si>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</si>
  <si>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</si>
  <si>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</si>
  <si>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</si>
  <si>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</si>
  <si>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</si>
  <si>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</si>
  <si>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</si>
  <si>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</si>
  <si>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</si>
  <si>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</si>
  <si>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</si>
  <si>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</si>
  <si>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</si>
  <si>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</si>
  <si>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</si>
  <si>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</si>
  <si>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</si>
  <si>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</si>
  <si>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</si>
  <si>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</si>
  <si>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</si>
  <si>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</si>
  <si>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</si>
  <si>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</si>
  <si>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</si>
  <si>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</si>
  <si>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</si>
  <si>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</si>
  <si>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</si>
  <si>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</si>
  <si>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</si>
  <si>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</si>
  <si>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</si>
  <si>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</si>
  <si>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</si>
  <si>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</si>
  <si>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</si>
  <si>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</si>
  <si>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</si>
  <si>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</si>
  <si>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</si>
  <si>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</si>
  <si>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</si>
  <si>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</si>
  <si>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</si>
  <si>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</si>
  <si>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</si>
  <si>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</si>
  <si>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</si>
  <si>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</si>
  <si>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</si>
  <si>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</si>
  <si>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</si>
  <si>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</si>
  <si>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</si>
  <si>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</si>
  <si>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</si>
  <si>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</si>
  <si>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</si>
  <si>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</si>
  <si>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</si>
  <si>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</si>
  <si>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</si>
  <si>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</si>
  <si>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</si>
  <si>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</si>
  <si>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</si>
  <si>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</si>
  <si>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</si>
  <si>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</si>
  <si>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</si>
  <si>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</si>
  <si>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</si>
  <si>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</si>
  <si>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</si>
  <si>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</si>
  <si>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</si>
  <si>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</si>
  <si>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</si>
  <si>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</si>
  <si>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</si>
  <si>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</si>
  <si>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</si>
  <si>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</si>
  <si>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</si>
  <si>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</si>
  <si>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</si>
  <si>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</si>
  <si>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</si>
  <si>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</si>
  <si>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</si>
  <si>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</si>
  <si>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</si>
  <si>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</si>
  <si>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</si>
  <si>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</si>
  <si>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</si>
  <si>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</si>
  <si>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</si>
  <si>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</si>
  <si>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</si>
  <si>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</si>
  <si>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</si>
  <si>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</si>
  <si>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</si>
  <si>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</si>
  <si>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</si>
  <si>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</si>
  <si>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</si>
  <si>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</si>
  <si>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</si>
  <si>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</si>
  <si>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</si>
  <si>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</si>
  <si>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</si>
  <si>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</si>
  <si>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</si>
  <si>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</si>
  <si>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</si>
  <si>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</si>
  <si>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</si>
  <si>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</si>
  <si>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</si>
  <si>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</si>
  <si>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</si>
  <si>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</si>
  <si>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</si>
  <si>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</si>
  <si>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</si>
  <si>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</si>
  <si>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</si>
  <si>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</si>
  <si>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</si>
  <si>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</si>
  <si>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</si>
  <si>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</si>
  <si>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</si>
  <si>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</si>
  <si>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</si>
  <si>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</si>
  <si>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</si>
  <si>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</si>
  <si>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</si>
  <si>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</si>
  <si>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</si>
  <si>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</si>
  <si>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</si>
  <si>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</si>
  <si>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</si>
  <si>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</si>
  <si>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</si>
  <si>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</si>
  <si>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</si>
  <si>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</si>
  <si>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</si>
  <si>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</si>
  <si>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</si>
  <si>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</si>
  <si>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</si>
  <si>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</si>
  <si>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</si>
  <si>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</si>
  <si>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</si>
  <si>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</si>
  <si>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</si>
  <si>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</si>
  <si>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</si>
  <si>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</si>
  <si>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</si>
  <si>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</si>
  <si>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</si>
  <si>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</si>
  <si>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</si>
  <si>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</si>
  <si>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</si>
  <si>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</si>
  <si>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</si>
  <si>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</si>
  <si>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</si>
  <si>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</si>
  <si>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</si>
  <si>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</si>
  <si>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</si>
  <si>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</si>
  <si>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</si>
  <si>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</si>
  <si>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</si>
  <si>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</si>
  <si>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</si>
  <si>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</si>
  <si>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</si>
  <si>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</si>
  <si>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</si>
  <si>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</si>
  <si>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</si>
  <si>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</si>
  <si>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</si>
  <si>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</si>
  <si>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</si>
  <si>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</si>
  <si>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</si>
  <si>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</si>
  <si>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</si>
  <si>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</si>
  <si>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</si>
  <si>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</si>
  <si>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</si>
  <si>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</si>
  <si>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</si>
  <si>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</si>
  <si>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</si>
  <si>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</si>
  <si>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</si>
  <si>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</si>
  <si>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</si>
  <si>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</si>
  <si>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</si>
  <si>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</si>
  <si>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</si>
  <si>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</si>
  <si>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</si>
  <si>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</si>
  <si>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</si>
  <si>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</si>
  <si>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</si>
  <si>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</si>
  <si>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</si>
  <si>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</si>
  <si>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</si>
  <si>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</si>
  <si>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</si>
  <si>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</si>
  <si>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</si>
  <si>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</si>
  <si>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</si>
  <si>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</si>
  <si>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</si>
  <si>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</si>
  <si>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</si>
  <si>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</si>
  <si>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</si>
  <si>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</si>
  <si>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</si>
  <si>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</si>
  <si>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</si>
  <si>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</si>
  <si>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</si>
  <si>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</si>
  <si>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</si>
  <si>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</si>
  <si>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</si>
  <si>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</si>
  <si>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</si>
  <si>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</si>
  <si>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</si>
  <si>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</si>
  <si>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</si>
  <si>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</si>
  <si>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</si>
  <si>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</si>
  <si>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</si>
  <si>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</si>
  <si>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</si>
  <si>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</si>
  <si>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</si>
  <si>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</si>
  <si>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</si>
  <si>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</si>
  <si>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</si>
  <si>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</si>
  <si>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</si>
  <si>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</si>
  <si>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</si>
  <si>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</si>
  <si>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</si>
  <si>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</si>
  <si>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</si>
  <si>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</si>
  <si>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</si>
  <si>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</si>
  <si>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</si>
  <si>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</si>
  <si>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</si>
  <si>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</si>
  <si>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</si>
  <si>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</si>
  <si>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</si>
  <si>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</si>
  <si>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</si>
  <si>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</si>
  <si>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</si>
  <si>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</si>
  <si>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</si>
  <si>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</si>
  <si>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</si>
  <si>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</si>
  <si>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</si>
  <si>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</si>
  <si>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</si>
  <si>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</si>
  <si>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</si>
  <si>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</si>
  <si>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</si>
  <si>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</si>
  <si>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</si>
  <si>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</si>
  <si>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</si>
  <si>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</si>
  <si>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</si>
  <si>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</si>
  <si>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</si>
  <si>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</si>
  <si>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</si>
  <si>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</si>
  <si>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</si>
  <si>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</si>
  <si>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</si>
  <si>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</si>
  <si>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</si>
  <si>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</si>
  <si>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</si>
  <si>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</si>
  <si>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</si>
  <si>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</si>
  <si>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</si>
  <si>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</si>
  <si>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</si>
  <si>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</si>
  <si>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</si>
  <si>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</si>
  <si>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</si>
  <si>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</si>
  <si>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</si>
  <si>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</si>
  <si>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</si>
  <si>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</si>
  <si>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</si>
  <si>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</si>
  <si>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</si>
  <si>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</si>
  <si>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</si>
  <si>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</si>
  <si>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</si>
  <si>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</si>
  <si>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</si>
  <si>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</si>
  <si>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</si>
  <si>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</si>
  <si>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</si>
  <si>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</si>
  <si>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</si>
  <si>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</si>
  <si>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</si>
  <si>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</si>
  <si>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</si>
  <si>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</si>
  <si>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</si>
  <si>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</si>
  <si>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</si>
  <si>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</si>
  <si>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</si>
  <si>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</si>
  <si>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</si>
  <si>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</si>
  <si>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</si>
  <si>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</si>
  <si>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</si>
  <si>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</si>
  <si>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</si>
  <si>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</si>
  <si>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</si>
  <si>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</si>
  <si>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</si>
  <si>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</si>
  <si>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</si>
  <si>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</si>
  <si>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</si>
  <si>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</si>
  <si>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</si>
  <si>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</si>
  <si>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</si>
  <si>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</si>
  <si>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</si>
  <si>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</si>
  <si>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</si>
  <si>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</si>
  <si>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</si>
  <si>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</si>
  <si>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</si>
  <si>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</si>
  <si>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</si>
  <si>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</si>
  <si>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</si>
  <si>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</si>
  <si>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</si>
  <si>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</si>
  <si>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</si>
  <si>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</si>
  <si>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</si>
  <si>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</si>
  <si>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</si>
  <si>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</si>
  <si>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</si>
  <si>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</si>
  <si>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</si>
  <si>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</si>
  <si>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</si>
  <si>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</si>
  <si>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</si>
  <si>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</si>
  <si>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</si>
  <si>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</si>
  <si>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</si>
  <si>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</si>
  <si>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</si>
  <si>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</si>
  <si>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</si>
  <si>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</si>
  <si>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</si>
  <si>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</si>
  <si>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</si>
  <si>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</si>
  <si>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</si>
  <si>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</si>
  <si>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</si>
  <si>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</si>
  <si>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</si>
  <si>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</si>
  <si>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</si>
  <si>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</si>
  <si>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</si>
  <si>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</si>
  <si>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</si>
  <si>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</si>
  <si>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</si>
  <si>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</si>
  <si>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</si>
  <si>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</si>
  <si>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</si>
  <si>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</si>
  <si>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</si>
  <si>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</si>
  <si>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</si>
  <si>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</si>
  <si>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</si>
  <si>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</si>
  <si>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</si>
  <si>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</si>
  <si>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</si>
  <si>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</si>
  <si>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</si>
  <si>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</si>
  <si>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</si>
  <si>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</si>
  <si>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</si>
  <si>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</si>
  <si>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</si>
  <si>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</si>
  <si>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</si>
  <si>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</si>
  <si>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</si>
  <si>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</si>
  <si>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</si>
  <si>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</si>
  <si>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</si>
  <si>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</si>
  <si>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</si>
  <si>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</si>
  <si>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</si>
  <si>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</si>
  <si>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</si>
  <si>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</si>
  <si>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</si>
  <si>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</si>
  <si>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</si>
  <si>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</si>
  <si>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</si>
  <si>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</si>
  <si>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</si>
  <si>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</si>
  <si>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</si>
  <si>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</si>
  <si>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</si>
  <si>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</si>
  <si>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</si>
  <si>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</si>
  <si>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</si>
  <si>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</si>
  <si>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</si>
  <si>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</si>
  <si>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</si>
  <si>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</si>
  <si>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</si>
  <si>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</si>
  <si>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</si>
  <si>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</si>
  <si>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</si>
  <si>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</si>
  <si>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</si>
  <si>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</si>
  <si>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</si>
  <si>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</si>
  <si>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</si>
  <si>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</si>
  <si>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</si>
  <si>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</si>
  <si>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</si>
  <si>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</si>
  <si>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</si>
  <si>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</si>
  <si>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</si>
  <si>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</si>
  <si>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</si>
  <si>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</si>
  <si>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</si>
  <si>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</si>
  <si>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</si>
  <si>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</si>
  <si>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</si>
  <si>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</si>
  <si>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</si>
  <si>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</si>
  <si>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</si>
  <si>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</si>
  <si>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</si>
  <si>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</si>
  <si>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</si>
  <si>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</si>
  <si>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</si>
  <si>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</si>
  <si>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</si>
  <si>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</si>
  <si>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</si>
  <si>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</si>
  <si>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</si>
  <si>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</si>
  <si>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</si>
  <si>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</si>
  <si>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</si>
  <si>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</si>
  <si>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</si>
  <si>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</si>
  <si>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</si>
  <si>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</si>
  <si>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</si>
  <si>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</si>
  <si>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</si>
  <si>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</si>
  <si>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</si>
  <si>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</si>
  <si>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</si>
  <si>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</si>
  <si>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</si>
  <si>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</si>
  <si>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</si>
  <si>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</si>
  <si>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</si>
  <si>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</si>
  <si>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</si>
  <si>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</si>
  <si>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</si>
  <si>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</si>
  <si>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</si>
  <si>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</si>
  <si>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</si>
  <si>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</si>
  <si>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</si>
  <si>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</si>
  <si>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</si>
  <si>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</si>
  <si>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</si>
  <si>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</si>
  <si>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</si>
  <si>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</si>
  <si>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</si>
  <si>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</si>
  <si>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</si>
  <si>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</si>
  <si>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</si>
  <si>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</si>
  <si>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</si>
  <si>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</si>
  <si>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</si>
  <si>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</si>
  <si>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</si>
  <si>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</si>
  <si>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</si>
  <si>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</si>
  <si>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</si>
  <si>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</si>
  <si>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</si>
  <si>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</si>
  <si>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</si>
  <si>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</si>
  <si>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</si>
  <si>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</si>
  <si>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</si>
  <si>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</si>
  <si>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</si>
  <si>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</si>
  <si>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</si>
  <si>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</si>
  <si>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</si>
  <si>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</si>
  <si>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</si>
  <si>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</si>
  <si>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</si>
  <si>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</si>
  <si>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</si>
  <si>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</si>
  <si>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</si>
  <si>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</si>
  <si>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</si>
  <si>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</si>
  <si>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</si>
  <si>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</si>
  <si>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</si>
  <si>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</si>
  <si>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</si>
  <si>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</si>
  <si>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</si>
  <si>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</si>
  <si>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</si>
  <si>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</si>
  <si>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</si>
  <si>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</si>
  <si>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</si>
  <si>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</si>
  <si>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</si>
  <si>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</si>
  <si>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</si>
  <si>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</si>
  <si>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</si>
  <si>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</si>
  <si>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</si>
  <si>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</si>
  <si>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</si>
  <si>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</si>
  <si>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</si>
  <si>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</si>
  <si>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</si>
  <si>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</si>
  <si>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</si>
  <si>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</si>
  <si>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</si>
  <si>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</si>
  <si>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</si>
  <si>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</si>
  <si>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</si>
  <si>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</si>
  <si>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</si>
  <si>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</si>
  <si>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</si>
  <si>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</si>
  <si>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</si>
  <si>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</si>
  <si>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</si>
  <si>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</si>
  <si>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</si>
  <si>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</si>
  <si>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</si>
  <si>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</si>
  <si>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</si>
  <si>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</si>
  <si>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</si>
  <si>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</si>
  <si>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</si>
  <si>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</si>
  <si>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</si>
  <si>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</si>
  <si>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</si>
  <si>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</si>
  <si>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</si>
  <si>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</si>
  <si>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</si>
  <si>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</si>
  <si>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</si>
  <si>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</si>
  <si>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</si>
  <si>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</si>
  <si>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</si>
  <si>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</si>
  <si>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</si>
  <si>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</si>
  <si>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</si>
  <si>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</si>
  <si>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</si>
  <si>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</si>
  <si>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</si>
  <si>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</si>
  <si>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</si>
  <si>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</si>
  <si>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</si>
  <si>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</si>
  <si>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</si>
  <si>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</si>
  <si>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</si>
  <si>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</si>
  <si>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</si>
  <si>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</si>
  <si>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</si>
  <si>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</si>
  <si>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</si>
  <si>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</si>
  <si>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</si>
  <si>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</si>
  <si>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</si>
  <si>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</si>
  <si>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</si>
  <si>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</si>
  <si>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</si>
  <si>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</si>
  <si>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</si>
  <si>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</si>
  <si>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</si>
  <si>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</si>
  <si>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</si>
  <si>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</si>
  <si>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</si>
  <si>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</si>
  <si>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</si>
  <si>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</si>
  <si>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</si>
  <si>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</si>
  <si>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</si>
  <si>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</si>
  <si>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</si>
  <si>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</si>
  <si>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</si>
  <si>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</si>
  <si>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</si>
  <si>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</si>
  <si>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</si>
  <si>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</si>
  <si>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</si>
  <si>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</si>
  <si>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</si>
  <si>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</si>
  <si>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</si>
  <si>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</si>
  <si>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</si>
  <si>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</si>
  <si>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</si>
  <si>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</si>
  <si>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</si>
  <si>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</si>
  <si>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</si>
  <si>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</si>
  <si>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</si>
  <si>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</si>
  <si>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</si>
  <si>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</si>
  <si>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</si>
  <si>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</si>
  <si>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</si>
  <si>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</si>
  <si>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</si>
  <si>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</si>
  <si>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</si>
  <si>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</si>
  <si>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</si>
  <si>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</si>
  <si>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</si>
  <si>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</si>
  <si>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</si>
  <si>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</si>
  <si>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</si>
  <si>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</si>
  <si>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</si>
  <si>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</si>
  <si>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</si>
  <si>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</si>
  <si>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</si>
  <si>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</si>
  <si>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</si>
  <si>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</si>
  <si>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</si>
  <si>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</si>
  <si>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</si>
  <si>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</si>
  <si>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</si>
  <si>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</si>
  <si>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</si>
  <si>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</si>
  <si>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</si>
  <si>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</si>
  <si>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</si>
  <si>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</si>
  <si>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</si>
  <si>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</si>
  <si>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</si>
  <si>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</si>
  <si>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</si>
  <si>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</si>
  <si>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</si>
  <si>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</si>
  <si>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</si>
  <si>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</si>
  <si>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</si>
  <si>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</si>
  <si>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</si>
  <si>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</si>
  <si>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</si>
  <si>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</si>
  <si>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</si>
  <si>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</si>
  <si>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</si>
  <si>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</si>
  <si>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</si>
  <si>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</si>
  <si>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</si>
  <si>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</si>
  <si>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</si>
  <si>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</si>
  <si>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</si>
  <si>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</si>
  <si>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</si>
  <si>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</si>
  <si>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</si>
  <si>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</si>
  <si>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</si>
  <si>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</si>
  <si>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</si>
  <si>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</si>
  <si>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</si>
  <si>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</si>
  <si>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</si>
  <si>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</si>
  <si>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</si>
  <si>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</si>
  <si>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</si>
  <si>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</si>
  <si>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</si>
  <si>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</si>
  <si>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</si>
  <si>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</si>
  <si>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</si>
  <si>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</si>
  <si>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</si>
  <si>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</si>
  <si>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</si>
  <si>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</si>
  <si>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</si>
  <si>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</si>
  <si>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</si>
  <si>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</si>
  <si>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</si>
  <si>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</si>
  <si>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</si>
  <si>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</si>
  <si>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</si>
  <si>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</si>
  <si>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</si>
  <si>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</si>
  <si>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</si>
  <si>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</si>
  <si>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</si>
  <si>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</si>
  <si>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</si>
  <si>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</si>
  <si>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</si>
  <si>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</si>
  <si>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</si>
  <si>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</si>
  <si>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</si>
  <si>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</si>
  <si>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</si>
  <si>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</si>
  <si>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</si>
  <si>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</si>
  <si>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</si>
  <si>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</si>
  <si>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</si>
  <si>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</si>
  <si>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</si>
  <si>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</si>
  <si>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</si>
  <si>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</si>
  <si>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</si>
  <si>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</si>
  <si>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</si>
  <si>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</si>
  <si>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</si>
  <si>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</si>
  <si>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</si>
  <si>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</si>
  <si>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</si>
  <si>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</si>
  <si>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</si>
  <si>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</si>
  <si>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</si>
  <si>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</si>
  <si>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</si>
  <si>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</si>
  <si>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</si>
  <si>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</si>
  <si>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</si>
  <si>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</si>
  <si>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</si>
  <si>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</si>
  <si>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</si>
  <si>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</si>
  <si>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</si>
  <si>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</si>
  <si>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</si>
  <si>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</si>
  <si>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</si>
  <si>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</si>
  <si>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</si>
  <si>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</si>
  <si>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</si>
  <si>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</si>
  <si>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</si>
  <si>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</si>
  <si>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</si>
  <si>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</si>
  <si>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</si>
  <si>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</si>
  <si>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</si>
  <si>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</si>
  <si>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</si>
  <si>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</si>
  <si>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</si>
  <si>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</si>
  <si>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</si>
  <si>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</si>
  <si>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</si>
  <si>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</si>
  <si>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</si>
  <si>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</si>
  <si>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</si>
  <si>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</si>
  <si>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</si>
  <si>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</si>
  <si>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</si>
  <si>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</si>
  <si>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</si>
  <si>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</si>
  <si>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</si>
  <si>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</si>
  <si>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</si>
  <si>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</si>
  <si>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</si>
  <si>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</si>
  <si>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</si>
  <si>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</si>
  <si>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</si>
  <si>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</si>
  <si>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</si>
  <si>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</si>
  <si>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</si>
  <si>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</si>
  <si>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</si>
  <si>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</si>
  <si>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</si>
  <si>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</si>
  <si>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</si>
  <si>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</si>
  <si>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</si>
  <si>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</si>
  <si>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</si>
  <si>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</si>
  <si>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</si>
  <si>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</si>
  <si>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</si>
  <si>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</si>
  <si>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</si>
  <si>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</si>
  <si>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</si>
  <si>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</si>
  <si>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</si>
  <si>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</si>
  <si>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</si>
  <si>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</si>
  <si>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</si>
  <si>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</si>
  <si>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</si>
  <si>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</si>
  <si>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</si>
  <si>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</si>
  <si>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</si>
  <si>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</si>
  <si>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</si>
  <si>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</si>
  <si>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</si>
  <si>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</si>
  <si>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</si>
  <si>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</si>
  <si>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</si>
  <si>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</si>
  <si>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</si>
  <si>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</si>
  <si>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</si>
  <si>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</si>
  <si>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</si>
  <si>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</si>
  <si>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</si>
  <si>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</si>
  <si>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</si>
  <si>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</si>
  <si>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</si>
  <si>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</si>
  <si>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</si>
  <si>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</si>
  <si>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</si>
  <si>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</si>
  <si>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</si>
  <si>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</si>
  <si>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</si>
  <si>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</si>
  <si>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</si>
  <si>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</si>
  <si>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</si>
  <si>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</si>
  <si>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</si>
  <si>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</si>
  <si>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</si>
  <si>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</si>
  <si>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</si>
  <si>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</si>
  <si>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</si>
  <si>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</si>
  <si>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</si>
  <si>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</si>
  <si>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</si>
  <si>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</si>
  <si>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</si>
  <si>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</si>
  <si>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</si>
  <si>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</si>
  <si>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</si>
  <si>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</si>
  <si>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</si>
  <si>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</si>
  <si>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</si>
  <si>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</si>
  <si>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</si>
  <si>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</si>
  <si>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</si>
  <si>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</si>
  <si>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</si>
  <si>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</si>
  <si>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</si>
  <si>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</si>
  <si>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</si>
  <si>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</si>
  <si>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</si>
  <si>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</si>
  <si>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</si>
  <si>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</si>
  <si>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</si>
  <si>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</si>
  <si>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</si>
  <si>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</si>
  <si>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</si>
  <si>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</si>
  <si>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</si>
  <si>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</si>
  <si>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</si>
  <si>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</si>
  <si>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</si>
  <si>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</si>
  <si>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</si>
  <si>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</si>
  <si>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</si>
  <si>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</si>
  <si>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</si>
  <si>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</si>
  <si>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</si>
  <si>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</si>
  <si>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</si>
  <si>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</si>
  <si>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</si>
  <si>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</si>
  <si>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</si>
  <si>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</si>
  <si>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</si>
  <si>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</si>
  <si>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</si>
  <si>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</si>
  <si>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</si>
  <si>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</si>
  <si>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</si>
  <si>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</si>
  <si>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</si>
  <si>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</si>
  <si>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</si>
  <si>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</si>
  <si>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</si>
  <si>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</si>
  <si>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</si>
  <si>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</si>
  <si>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</si>
  <si>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</si>
  <si>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</si>
  <si>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</si>
  <si>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</si>
  <si>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</si>
  <si>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</si>
  <si>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</si>
  <si>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</si>
  <si>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</si>
  <si>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</si>
  <si>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</si>
  <si>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</si>
  <si>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</si>
  <si>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</si>
  <si>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</si>
  <si>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</si>
  <si>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</si>
  <si>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</si>
  <si>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</si>
  <si>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</si>
  <si>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</si>
  <si>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</si>
  <si>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</si>
  <si>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</si>
  <si>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</si>
  <si>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</si>
  <si>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</si>
  <si>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</si>
  <si>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</si>
  <si>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</si>
  <si>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</si>
  <si>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</si>
  <si>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</si>
  <si>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</si>
  <si>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</si>
  <si>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</si>
  <si>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</si>
  <si>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</si>
  <si>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</si>
  <si>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</si>
  <si>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</si>
  <si>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</si>
  <si>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</si>
  <si>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</si>
  <si>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</si>
  <si>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</si>
  <si>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</si>
  <si>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</si>
  <si>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</si>
  <si>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</si>
  <si>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</si>
  <si>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</si>
  <si>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</si>
  <si>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</si>
  <si>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</si>
  <si>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</si>
  <si>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</si>
  <si>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</si>
  <si>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</si>
  <si>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</si>
  <si>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</si>
  <si>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</si>
  <si>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</si>
  <si>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</si>
  <si>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</si>
  <si>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</si>
  <si>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</si>
  <si>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</si>
  <si>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</si>
  <si>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</si>
  <si>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</si>
  <si>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</si>
  <si>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</si>
  <si>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</si>
  <si>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</si>
  <si>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</si>
  <si>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</si>
  <si>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</si>
  <si>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</si>
  <si>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</si>
  <si>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</si>
  <si>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</si>
  <si>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</si>
  <si>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</si>
  <si>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</si>
  <si>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</si>
  <si>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</si>
  <si>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</si>
  <si>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</si>
  <si>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</si>
  <si>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</si>
  <si>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</si>
  <si>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</si>
  <si>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</si>
  <si>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</si>
  <si>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</si>
  <si>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</si>
  <si>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</si>
  <si>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</si>
  <si>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</si>
  <si>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</si>
  <si>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</si>
  <si>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</si>
  <si>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</si>
  <si>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</si>
  <si>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</si>
  <si>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</si>
  <si>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</si>
  <si>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</si>
  <si>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</si>
  <si>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</si>
  <si>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</si>
  <si>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</si>
  <si>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</si>
  <si>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</si>
  <si>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</si>
  <si>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</si>
  <si>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</si>
  <si>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</si>
  <si>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</si>
  <si>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</si>
  <si>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</si>
  <si>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</si>
  <si>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</si>
  <si>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</si>
  <si>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</si>
  <si>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</si>
  <si>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</si>
  <si>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</si>
  <si>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</si>
  <si>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</si>
  <si>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</si>
  <si>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</si>
  <si>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</si>
  <si>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</si>
  <si>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</si>
  <si>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</si>
  <si>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</si>
  <si>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</si>
  <si>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</si>
  <si>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</si>
  <si>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</si>
  <si>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</si>
  <si>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</si>
  <si>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</si>
  <si>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</si>
  <si>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</si>
  <si>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</si>
  <si>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</si>
  <si>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</si>
  <si>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</si>
  <si>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</si>
  <si>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</si>
  <si>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</si>
  <si>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</si>
  <si>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</si>
  <si>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</si>
  <si>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</si>
  <si>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</si>
  <si>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</si>
  <si>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</si>
  <si>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</si>
  <si>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</si>
  <si>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</si>
  <si>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</si>
  <si>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</si>
  <si>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</si>
  <si>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</si>
  <si>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</si>
  <si>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</si>
  <si>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</si>
  <si>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</si>
  <si>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</si>
  <si>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</si>
  <si>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</si>
  <si>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</si>
  <si>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</si>
  <si>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</si>
  <si>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</si>
  <si>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</si>
  <si>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</si>
  <si>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</si>
  <si>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</si>
  <si>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</si>
  <si>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</si>
  <si>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</si>
  <si>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</si>
  <si>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</si>
  <si>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</si>
  <si>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</si>
  <si>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</si>
  <si>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</si>
  <si>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</si>
  <si>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</si>
  <si>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</si>
  <si>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</si>
  <si>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</si>
  <si>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</si>
  <si>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</si>
  <si>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</si>
  <si>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</si>
  <si>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</si>
  <si>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</si>
  <si>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</si>
  <si>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</si>
  <si>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</si>
  <si>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</si>
  <si>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</si>
  <si>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</si>
  <si>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</si>
  <si>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</si>
  <si>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</si>
  <si>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</si>
  <si>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</si>
  <si>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</si>
  <si>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</si>
  <si>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</si>
  <si>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</si>
  <si>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</si>
  <si>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</si>
  <si>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</si>
  <si>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</si>
  <si>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</si>
  <si>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</si>
  <si>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</si>
  <si>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</si>
  <si>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</si>
  <si>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</si>
  <si>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</si>
  <si>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</si>
  <si>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</si>
  <si>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</si>
  <si>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</si>
  <si>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</si>
  <si>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</si>
  <si>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</si>
  <si>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</si>
  <si>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</si>
  <si>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</si>
  <si>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</si>
  <si>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</si>
  <si>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</si>
  <si>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</si>
  <si>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</si>
  <si>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</si>
  <si>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</si>
  <si>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</si>
  <si>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</si>
  <si>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</si>
  <si>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</si>
  <si>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</si>
  <si>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</si>
  <si>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</si>
  <si>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</si>
  <si>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</si>
  <si>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</si>
  <si>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</si>
  <si>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</si>
  <si>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</si>
  <si>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</si>
  <si>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</si>
  <si>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</si>
  <si>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</si>
  <si>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</si>
  <si>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</si>
  <si>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</si>
  <si>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</si>
  <si>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</si>
  <si>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</si>
  <si>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</si>
  <si>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</si>
  <si>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</si>
  <si>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</si>
  <si>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</si>
  <si>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</si>
  <si>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</si>
  <si>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</si>
  <si>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</si>
  <si>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</si>
  <si>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</si>
  <si>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</si>
  <si>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</si>
  <si>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</si>
  <si>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</si>
  <si>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</si>
  <si>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</si>
  <si>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</si>
  <si>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</si>
  <si>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</si>
  <si>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</si>
  <si>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</si>
  <si>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</si>
  <si>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</si>
  <si>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</si>
  <si>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</si>
  <si>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</si>
  <si>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</si>
  <si>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</si>
  <si>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</si>
  <si>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</si>
  <si>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</si>
  <si>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</si>
  <si>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</si>
  <si>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</si>
  <si>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</si>
  <si>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</si>
  <si>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</si>
  <si>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</si>
  <si>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</si>
  <si>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</si>
  <si>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</si>
  <si>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</si>
  <si>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</si>
  <si>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</si>
  <si>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</si>
  <si>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</si>
  <si>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</si>
  <si>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</si>
  <si>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</si>
  <si>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</si>
  <si>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</si>
  <si>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</si>
  <si>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</si>
  <si>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</si>
  <si>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</si>
  <si>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</si>
  <si>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</si>
  <si>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</si>
  <si>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</si>
  <si>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</si>
  <si>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</si>
  <si>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</si>
  <si>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</si>
  <si>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</si>
  <si>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</si>
  <si>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</si>
  <si>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</si>
  <si>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</si>
  <si>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</si>
  <si>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</si>
  <si>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</si>
  <si>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</si>
  <si>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</si>
  <si>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</si>
  <si>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</si>
  <si>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</si>
  <si>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</si>
  <si>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</si>
  <si>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</si>
  <si>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</si>
  <si>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</si>
  <si>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</si>
  <si>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</si>
  <si>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</si>
  <si>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</si>
  <si>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</si>
  <si>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</si>
  <si>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</si>
  <si>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</si>
  <si>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</si>
  <si>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</si>
  <si>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</si>
  <si>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</si>
  <si>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</si>
  <si>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</si>
  <si>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</si>
  <si>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</si>
  <si>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</si>
  <si>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</si>
  <si>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</si>
  <si>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</si>
  <si>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</si>
  <si>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</si>
  <si>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</si>
  <si>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</si>
  <si>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</si>
  <si>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</si>
  <si>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</si>
  <si>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</si>
  <si>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</si>
  <si>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</si>
  <si>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</si>
  <si>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</si>
  <si>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</si>
  <si>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</si>
  <si>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</si>
  <si>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</si>
  <si>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</si>
  <si>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</si>
  <si>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</si>
  <si>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</si>
  <si>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</si>
  <si>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</si>
  <si>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</si>
  <si>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</si>
  <si>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</si>
  <si>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</si>
  <si>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</si>
  <si>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</si>
  <si>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</si>
  <si>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</si>
  <si>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</si>
  <si>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</si>
  <si>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</si>
  <si>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</si>
  <si>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</si>
  <si>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</si>
  <si>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</si>
  <si>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</si>
  <si>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</si>
  <si>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</si>
  <si>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</si>
  <si>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</si>
  <si>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</si>
  <si>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</si>
  <si>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</si>
  <si>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</si>
  <si>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</si>
  <si>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</si>
  <si>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</si>
  <si>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</si>
  <si>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</si>
  <si>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</si>
  <si>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</si>
  <si>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</si>
  <si>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</si>
  <si>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</si>
  <si>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</si>
  <si>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</si>
  <si>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</si>
  <si>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</si>
  <si>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</si>
  <si>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</si>
  <si>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</si>
  <si>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</si>
  <si>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</si>
  <si>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</si>
  <si>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</si>
  <si>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</si>
  <si>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</si>
  <si>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</si>
  <si>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</si>
  <si>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</si>
  <si>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</si>
  <si>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</si>
  <si>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</si>
  <si>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</si>
  <si>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</si>
  <si>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</si>
  <si>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</si>
  <si>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</si>
  <si>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</si>
  <si>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</si>
  <si>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</si>
  <si>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</si>
  <si>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</si>
  <si>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</si>
  <si>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</si>
  <si>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</si>
  <si>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</si>
  <si>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</si>
  <si>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</si>
  <si>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</si>
  <si>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</si>
  <si>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</si>
  <si>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</si>
  <si>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</si>
  <si>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</si>
  <si>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</si>
  <si>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</si>
  <si>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</si>
  <si>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</si>
  <si>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</si>
  <si>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</si>
  <si>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</si>
  <si>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</si>
  <si>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</si>
  <si>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</si>
  <si>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</si>
  <si>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</si>
  <si>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</si>
  <si>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</si>
  <si>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</si>
  <si>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</si>
  <si>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</si>
  <si>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</si>
  <si>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</si>
  <si>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</si>
  <si>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</si>
  <si>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</si>
  <si>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</si>
  <si>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</si>
  <si>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</si>
  <si>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</si>
  <si>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</si>
  <si>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</si>
  <si>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</si>
  <si>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</si>
  <si>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</si>
  <si>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</si>
  <si>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</si>
  <si>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</si>
  <si>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</si>
  <si>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</si>
  <si>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</si>
  <si>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</si>
  <si>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</si>
  <si>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</si>
  <si>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</si>
  <si>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</si>
  <si>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</si>
  <si>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</si>
  <si>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</si>
  <si>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</si>
  <si>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</si>
  <si>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</si>
  <si>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</si>
  <si>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</si>
  <si>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</si>
  <si>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</si>
  <si>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</si>
  <si>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</si>
  <si>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</si>
  <si>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</si>
  <si>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</si>
  <si>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</si>
  <si>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</si>
  <si>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</si>
  <si>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</si>
  <si>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</si>
  <si>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</si>
  <si>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</si>
  <si>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</si>
  <si>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</si>
  <si>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</si>
  <si>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</si>
  <si>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</si>
  <si>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</si>
  <si>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</si>
  <si>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</si>
  <si>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</si>
  <si>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</si>
  <si>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</si>
  <si>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</si>
  <si>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</si>
  <si>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</si>
  <si>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</si>
  <si>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</si>
  <si>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</si>
  <si>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</si>
  <si>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</si>
  <si>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</si>
  <si>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</si>
  <si>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</si>
  <si>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</si>
  <si>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</si>
  <si>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</si>
  <si>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</si>
  <si>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</si>
  <si>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</si>
  <si>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</si>
  <si>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</si>
  <si>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</si>
  <si>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</si>
  <si>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</si>
  <si>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</si>
  <si>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</si>
  <si>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</si>
  <si>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</si>
  <si>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</si>
  <si>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</si>
  <si>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</si>
  <si>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</si>
  <si>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</si>
  <si>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</si>
  <si>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</si>
  <si>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</si>
  <si>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</si>
  <si>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</si>
  <si>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</si>
  <si>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</si>
  <si>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</si>
  <si>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</si>
  <si>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</si>
  <si>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</si>
  <si>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</si>
  <si>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</si>
  <si>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</si>
  <si>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</si>
  <si>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</si>
  <si>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</si>
  <si>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</si>
  <si>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</si>
  <si>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</si>
  <si>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</si>
  <si>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</si>
  <si>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</si>
  <si>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</si>
  <si>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</si>
  <si>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</si>
  <si>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</si>
  <si>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</si>
  <si>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</si>
  <si>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</si>
  <si>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</si>
  <si>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</si>
  <si>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</si>
  <si>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</si>
  <si>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</si>
  <si>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</si>
  <si>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</si>
  <si>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</si>
  <si>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</si>
  <si>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</si>
  <si>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</si>
  <si>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</si>
  <si>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</si>
  <si>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</si>
  <si>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</si>
  <si>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</si>
  <si>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</si>
  <si>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</si>
  <si>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</si>
  <si>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</si>
  <si>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</si>
  <si>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</si>
  <si>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</si>
  <si>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</si>
  <si>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</si>
  <si>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</si>
  <si>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</si>
  <si>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</si>
  <si>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</si>
  <si>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</si>
  <si>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</si>
  <si>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</si>
  <si>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</si>
  <si>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</si>
  <si>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</si>
  <si>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</si>
  <si>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</si>
  <si>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</si>
  <si>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</si>
  <si>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</si>
  <si>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</si>
  <si>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</si>
  <si>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</si>
  <si>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</si>
  <si>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</si>
  <si>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</si>
  <si>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</si>
  <si>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</si>
  <si>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</si>
  <si>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</si>
  <si>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</si>
  <si>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</si>
  <si>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</si>
  <si>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</si>
  <si>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</si>
  <si>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</si>
  <si>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</si>
  <si>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</si>
  <si>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</si>
  <si>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</si>
  <si>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</si>
  <si>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</si>
  <si>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</si>
  <si>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</si>
  <si>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</si>
  <si>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</si>
  <si>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</si>
  <si>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</si>
  <si>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</si>
  <si>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</si>
  <si>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</si>
  <si>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</si>
  <si>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</si>
  <si>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</si>
  <si>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</si>
  <si>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</si>
  <si>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</si>
  <si>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</si>
  <si>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</si>
  <si>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</si>
  <si>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</si>
  <si>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</si>
  <si>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</si>
  <si>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</si>
  <si>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</si>
  <si>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</si>
  <si>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</si>
  <si>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</si>
  <si>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</si>
  <si>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</si>
  <si>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</si>
  <si>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</si>
  <si>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</si>
  <si>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</si>
  <si>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</si>
  <si>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</si>
  <si>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</si>
  <si>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</si>
  <si>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</si>
  <si>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</si>
  <si>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</si>
  <si>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</si>
  <si>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</si>
  <si>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</si>
  <si>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</si>
  <si>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</si>
  <si>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</si>
  <si>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</si>
  <si>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</si>
  <si>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</si>
  <si>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</si>
  <si>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</si>
  <si>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</si>
  <si>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</si>
  <si>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</si>
  <si>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</si>
  <si>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</si>
  <si>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</si>
  <si>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</si>
  <si>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</si>
  <si>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</si>
  <si>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</si>
  <si>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</si>
  <si>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</si>
  <si>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</si>
  <si>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</si>
  <si>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</si>
  <si>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</si>
  <si>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</si>
  <si>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</si>
  <si>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</si>
  <si>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</si>
  <si>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</si>
  <si>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</si>
  <si>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</si>
  <si>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</si>
  <si>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</si>
  <si>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</si>
  <si>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</si>
  <si>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</si>
  <si>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</si>
  <si>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</si>
  <si>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</si>
  <si>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</si>
  <si>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</si>
  <si>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</si>
  <si>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</si>
  <si>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</si>
  <si>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</si>
  <si>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</si>
  <si>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</si>
  <si>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</si>
  <si>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</si>
  <si>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</si>
  <si>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</si>
  <si>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</si>
  <si>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</si>
  <si>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</si>
  <si>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</si>
  <si>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</si>
  <si>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</si>
  <si>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</si>
  <si>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</si>
  <si>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</si>
  <si>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</si>
  <si>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</si>
  <si>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</si>
  <si>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</si>
  <si>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</si>
  <si>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</si>
  <si>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</si>
  <si>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</si>
  <si>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</si>
  <si>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</si>
  <si>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</si>
  <si>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</si>
  <si>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</si>
  <si>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</si>
  <si>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</si>
  <si>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</si>
  <si>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</si>
  <si>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</si>
  <si>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</si>
  <si>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</si>
  <si>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</si>
  <si>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</si>
  <si>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</si>
  <si>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</si>
  <si>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</si>
  <si>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</si>
  <si>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</si>
  <si>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</si>
  <si>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</si>
  <si>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</si>
  <si>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</si>
  <si>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</si>
  <si>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</si>
  <si>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</si>
  <si>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</si>
  <si>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</si>
  <si>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</si>
  <si>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</si>
  <si>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</si>
  <si>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</si>
  <si>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</si>
  <si>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</si>
  <si>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</si>
  <si>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</si>
  <si>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</si>
  <si>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</si>
  <si>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</si>
  <si>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</si>
  <si>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</si>
  <si>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</si>
  <si>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</si>
  <si>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</si>
  <si>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</si>
  <si>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</si>
  <si>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</si>
  <si>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</si>
  <si>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</si>
  <si>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</si>
  <si>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</si>
  <si>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</si>
  <si>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</si>
  <si>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</si>
  <si>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</si>
  <si>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</si>
  <si>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</si>
  <si>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</si>
  <si>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</si>
  <si>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</si>
  <si>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</si>
  <si>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</si>
  <si>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</si>
  <si>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</si>
  <si>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</si>
  <si>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</si>
  <si>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</si>
  <si>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</si>
  <si>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</si>
  <si>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</si>
  <si>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</si>
  <si>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</si>
  <si>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</si>
  <si>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</si>
  <si>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</si>
  <si>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</si>
  <si>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</si>
  <si>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</si>
  <si>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</si>
  <si>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</si>
  <si>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</si>
  <si>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</si>
  <si>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</si>
  <si>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</si>
  <si>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</si>
  <si>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</si>
  <si>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</si>
  <si>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</si>
  <si>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</si>
  <si>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</si>
  <si>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</si>
  <si>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</si>
  <si>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</si>
  <si>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</si>
  <si>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</si>
  <si>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</si>
  <si>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</si>
  <si>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</si>
  <si>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</si>
  <si>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</si>
  <si>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</si>
  <si>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</si>
  <si>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</si>
  <si>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</si>
  <si>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</si>
  <si>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</si>
  <si>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</si>
  <si>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</si>
  <si>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</si>
  <si>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</si>
  <si>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</si>
  <si>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</si>
  <si>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</si>
  <si>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</si>
  <si>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</si>
  <si>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</si>
  <si>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</si>
  <si>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</si>
  <si>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</si>
  <si>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</si>
  <si>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</si>
  <si>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</si>
  <si>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</si>
  <si>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</si>
  <si>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</si>
  <si>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</si>
  <si>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</si>
  <si>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</si>
  <si>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</si>
  <si>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</si>
  <si>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</si>
  <si>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</si>
  <si>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</si>
  <si>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</si>
  <si>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</si>
  <si>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</si>
  <si>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</si>
  <si>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</si>
  <si>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</si>
  <si>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</si>
  <si>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</si>
  <si>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</si>
  <si>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</si>
  <si>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</si>
  <si>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</si>
  <si>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</si>
  <si>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</si>
  <si>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</si>
  <si>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</si>
  <si>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</si>
  <si>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</si>
  <si>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</si>
  <si>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</si>
  <si>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</si>
  <si>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</si>
  <si>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</si>
  <si>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</si>
  <si>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</si>
  <si>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</si>
  <si>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</si>
  <si>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</si>
  <si>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</si>
  <si>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</si>
  <si>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</si>
  <si>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</si>
  <si>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</si>
  <si>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</si>
  <si>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</si>
  <si>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</si>
  <si>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</si>
  <si>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</si>
  <si>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</si>
  <si>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</si>
  <si>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</si>
  <si>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</si>
  <si>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</si>
  <si>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</si>
  <si>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</si>
  <si>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</si>
  <si>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</si>
  <si>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</si>
  <si>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</si>
  <si>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</si>
  <si>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</si>
  <si>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</si>
  <si>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</si>
  <si>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</si>
  <si>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</si>
  <si>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</si>
  <si>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</si>
  <si>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</si>
  <si>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</si>
  <si>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</si>
  <si>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</si>
  <si>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</si>
  <si>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</si>
  <si>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</si>
  <si>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</si>
  <si>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</si>
  <si>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</si>
  <si>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</si>
  <si>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</si>
  <si>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</si>
  <si>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</si>
  <si>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</si>
  <si>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</si>
  <si>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</si>
  <si>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</si>
  <si>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</si>
  <si>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</si>
  <si>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</si>
  <si>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</si>
  <si>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</si>
  <si>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</si>
  <si>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</si>
  <si>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</si>
  <si>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</si>
  <si>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</si>
  <si>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</si>
  <si>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</si>
  <si>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</si>
  <si>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</si>
  <si>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</si>
  <si>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</si>
  <si>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</si>
  <si>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</si>
  <si>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</si>
  <si>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</si>
  <si>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</si>
  <si>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</si>
  <si>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</si>
  <si>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</si>
  <si>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</si>
  <si>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</si>
  <si>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</si>
  <si>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</si>
  <si>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</si>
  <si>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</si>
  <si>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</si>
  <si>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</si>
  <si>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</si>
  <si>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</si>
  <si>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</si>
  <si>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</si>
  <si>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</si>
  <si>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</si>
  <si>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</si>
  <si>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</si>
  <si>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</si>
  <si>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</si>
  <si>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</si>
  <si>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</si>
  <si>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</si>
  <si>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</si>
  <si>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</si>
  <si>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</si>
  <si>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</si>
  <si>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</si>
  <si>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</si>
  <si>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</si>
  <si>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</si>
  <si>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</si>
  <si>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</si>
  <si>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</si>
  <si>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</si>
  <si>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</si>
  <si>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</si>
  <si>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</si>
  <si>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</si>
  <si>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</si>
  <si>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</si>
  <si>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</si>
  <si>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</si>
  <si>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</si>
  <si>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</si>
  <si>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</si>
  <si>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</si>
  <si>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</si>
  <si>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</si>
  <si>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</si>
  <si>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</si>
  <si>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</si>
  <si>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</si>
  <si>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</si>
  <si>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</si>
  <si>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</si>
  <si>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</si>
  <si>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</si>
  <si>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</si>
  <si>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</si>
  <si>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</si>
  <si>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</si>
  <si>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</si>
  <si>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</si>
  <si>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</si>
  <si>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</si>
  <si>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</si>
  <si>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</si>
  <si>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</si>
  <si>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</si>
  <si>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</si>
  <si>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</si>
  <si>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</si>
  <si>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</si>
  <si>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</si>
  <si>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</si>
  <si>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</si>
  <si>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</si>
  <si>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</si>
  <si>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</si>
  <si>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</si>
  <si>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</si>
  <si>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</si>
  <si>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</si>
  <si>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</si>
  <si>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</si>
  <si>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</si>
  <si>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</si>
  <si>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</si>
  <si>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</si>
  <si>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</si>
  <si>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</si>
  <si>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</si>
  <si>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</si>
  <si>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</si>
  <si>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</si>
  <si>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</si>
  <si>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</si>
  <si>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</si>
  <si>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</si>
  <si>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</si>
  <si>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</si>
  <si>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</si>
  <si>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</si>
  <si>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</si>
  <si>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</si>
  <si>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</si>
  <si>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</si>
  <si>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</si>
  <si>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</si>
  <si>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</si>
  <si>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</si>
  <si>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</si>
  <si>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</si>
  <si>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</si>
  <si>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</si>
  <si>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</si>
  <si>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</si>
  <si>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</si>
  <si>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</si>
  <si>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</si>
  <si>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</si>
  <si>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</si>
  <si>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</si>
  <si>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</si>
  <si>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</si>
  <si>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</si>
  <si>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</si>
  <si>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</si>
  <si>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</si>
  <si>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</si>
  <si>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</si>
  <si>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</si>
  <si>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</si>
  <si>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</si>
  <si>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</si>
  <si>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</si>
  <si>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</si>
  <si>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</si>
  <si>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</si>
  <si>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</si>
  <si>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</si>
  <si>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</si>
  <si>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</si>
  <si>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</si>
  <si>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</si>
  <si>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</si>
  <si>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</si>
  <si>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</si>
  <si>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</si>
  <si>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</si>
  <si>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</si>
  <si>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</si>
  <si>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</si>
  <si>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</si>
  <si>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</si>
  <si>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</si>
  <si>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</si>
  <si>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</si>
  <si>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</si>
  <si>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</si>
  <si>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</si>
  <si>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</si>
  <si>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</si>
  <si>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</si>
  <si>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</si>
  <si>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</si>
  <si>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</si>
  <si>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</si>
  <si>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</si>
  <si>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</si>
  <si>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</si>
  <si>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</si>
  <si>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</si>
  <si>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</si>
  <si>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</si>
  <si>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</si>
  <si>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</si>
  <si>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</si>
  <si>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</si>
  <si>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</si>
  <si>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</si>
  <si>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</si>
  <si>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</si>
  <si>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</si>
  <si>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</si>
  <si>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</si>
  <si>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</si>
  <si>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</si>
  <si>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</si>
  <si>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</si>
  <si>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</si>
  <si>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</si>
  <si>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</si>
  <si>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</si>
  <si>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</si>
  <si>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</si>
  <si>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</si>
  <si>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</si>
  <si>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</si>
  <si>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</si>
  <si>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</si>
  <si>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</si>
  <si>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</si>
  <si>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</si>
  <si>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</si>
  <si>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</si>
  <si>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</si>
  <si>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</si>
  <si>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</si>
  <si>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</si>
  <si>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</si>
  <si>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</si>
  <si>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</si>
  <si>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</si>
  <si>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</si>
  <si>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</si>
  <si>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</si>
  <si>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</si>
  <si>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</si>
  <si>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</si>
  <si>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</si>
  <si>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</si>
  <si>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</si>
  <si>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</si>
  <si>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</si>
  <si>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</si>
  <si>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</si>
  <si>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</si>
  <si>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</si>
  <si>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</si>
  <si>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</si>
  <si>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</si>
  <si>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</si>
  <si>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</si>
  <si>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</si>
  <si>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</si>
  <si>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</si>
  <si>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</si>
  <si>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</si>
  <si>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</si>
  <si>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</si>
  <si>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</si>
  <si>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</si>
  <si>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</si>
  <si>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</si>
  <si>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</si>
  <si>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</si>
  <si>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</si>
  <si>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</si>
  <si>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</si>
  <si>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</si>
  <si>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</si>
  <si>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</si>
  <si>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</si>
  <si>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</si>
  <si>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</si>
  <si>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</si>
  <si>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</si>
  <si>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</si>
  <si>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</si>
  <si>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</si>
  <si>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</si>
  <si>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</si>
  <si>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</si>
  <si>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</si>
  <si>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</si>
  <si>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</si>
  <si>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</si>
  <si>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</si>
  <si>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</si>
  <si>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</si>
  <si>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</si>
  <si>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</si>
  <si>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</si>
  <si>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</si>
  <si>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</si>
  <si>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</si>
  <si>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</si>
  <si>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</si>
  <si>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</si>
  <si>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</si>
  <si>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</si>
  <si>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</si>
  <si>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</si>
  <si>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</si>
  <si>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</si>
  <si>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</si>
  <si>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</si>
  <si>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</si>
  <si>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</si>
  <si>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</si>
  <si>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</si>
  <si>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</si>
  <si>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</si>
  <si>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</si>
  <si>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</si>
  <si>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</si>
  <si>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</si>
  <si>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</si>
  <si>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</si>
  <si>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</si>
  <si>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</si>
  <si>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</si>
  <si>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</si>
  <si>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</si>
  <si>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</si>
  <si>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</si>
  <si>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</si>
  <si>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</si>
  <si>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</si>
  <si>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</si>
  <si>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</si>
  <si>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</si>
  <si>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</si>
  <si>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</si>
  <si>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</si>
  <si>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</si>
  <si>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</si>
  <si>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</si>
  <si>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</si>
  <si>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</si>
  <si>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</si>
  <si>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</si>
  <si>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</si>
  <si>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</si>
  <si>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</si>
  <si>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</si>
  <si>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</si>
  <si>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</si>
  <si>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</si>
  <si>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</si>
  <si>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</si>
  <si>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</si>
  <si>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</si>
  <si>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</si>
  <si>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</si>
  <si>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</si>
  <si>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</si>
  <si>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</si>
  <si>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</si>
  <si>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</si>
  <si>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</si>
  <si>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</si>
  <si>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</si>
  <si>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</si>
  <si>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</si>
  <si>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</si>
  <si>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</si>
  <si>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</si>
  <si>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</si>
  <si>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</si>
  <si>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</si>
  <si>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</si>
  <si>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</si>
  <si>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</si>
  <si>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</si>
  <si>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</si>
  <si>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</si>
  <si>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</si>
  <si>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</si>
  <si>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</si>
  <si>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</si>
  <si>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</si>
  <si>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</si>
  <si>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</si>
  <si>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</si>
  <si>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</si>
  <si>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</si>
  <si>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</si>
  <si>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</si>
  <si>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</si>
  <si>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</si>
  <si>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</si>
  <si>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</si>
  <si>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</si>
  <si>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</si>
  <si>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</si>
  <si>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</si>
  <si>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</si>
  <si>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</si>
  <si>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</si>
  <si>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</si>
  <si>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</si>
  <si>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</si>
  <si>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</si>
  <si>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</si>
  <si>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</si>
  <si>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</si>
  <si>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</si>
  <si>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</si>
  <si>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</si>
  <si>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</si>
  <si>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</si>
  <si>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</si>
  <si>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</si>
  <si>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</si>
  <si>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</si>
  <si>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</si>
  <si>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</si>
  <si>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</si>
  <si>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</si>
  <si>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</si>
  <si>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</si>
  <si>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</si>
  <si>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</si>
  <si>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</si>
  <si>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</si>
  <si>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</si>
  <si>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</si>
  <si>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</si>
  <si>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</si>
  <si>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</si>
  <si>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</si>
  <si>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</si>
  <si>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</si>
  <si>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</si>
  <si>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</si>
  <si>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</si>
  <si>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</si>
  <si>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</si>
  <si>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</si>
  <si>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</si>
  <si>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</si>
  <si>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</si>
  <si>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</si>
  <si>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</si>
  <si>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</si>
  <si>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</si>
  <si>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</si>
  <si>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</si>
  <si>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</si>
  <si>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</si>
  <si>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</si>
  <si>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</si>
  <si>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</si>
  <si>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</si>
  <si>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</si>
  <si>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</si>
  <si>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</si>
  <si>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</si>
  <si>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</si>
  <si>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</si>
  <si>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</si>
  <si>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</si>
  <si>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</si>
  <si>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</si>
  <si>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</si>
  <si>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</si>
  <si>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</si>
  <si>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</si>
  <si>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</si>
  <si>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</si>
  <si>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</si>
  <si>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</si>
  <si>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</si>
  <si>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</si>
  <si>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</si>
  <si>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</si>
  <si>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</si>
  <si>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</si>
  <si>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</si>
  <si>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</si>
  <si>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</si>
  <si>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</si>
  <si>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</si>
  <si>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</si>
  <si>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</si>
  <si>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</si>
  <si>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</si>
  <si>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</si>
  <si>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</si>
  <si>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</si>
  <si>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</si>
  <si>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</si>
  <si>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</si>
  <si>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</si>
  <si>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</si>
  <si>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</si>
  <si>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</si>
  <si>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</si>
  <si>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</si>
  <si>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</si>
  <si>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</si>
  <si>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</si>
  <si>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</si>
  <si>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</si>
  <si>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</si>
  <si>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</si>
  <si>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</si>
  <si>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</si>
  <si>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</si>
  <si>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</si>
  <si>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</si>
  <si>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</si>
  <si>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</si>
  <si>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</si>
  <si>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</si>
  <si>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</si>
  <si>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</si>
  <si>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</si>
  <si>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</si>
  <si>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</si>
  <si>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</si>
  <si>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</si>
  <si>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</si>
  <si>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</si>
  <si>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</si>
  <si>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</si>
  <si>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</si>
  <si>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</si>
  <si>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</si>
  <si>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</si>
  <si>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</si>
  <si>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</si>
  <si>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</si>
  <si>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</si>
  <si>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</si>
  <si>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</si>
  <si>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</si>
  <si>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</si>
  <si>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</si>
  <si>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</si>
  <si>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</si>
  <si>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</si>
  <si>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</si>
  <si>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</si>
  <si>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</si>
  <si>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</si>
  <si>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</si>
  <si>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</si>
  <si>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</si>
  <si>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</si>
  <si>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</si>
  <si>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</si>
  <si>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</si>
  <si>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</si>
  <si>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</si>
  <si>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</si>
  <si>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</si>
  <si>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</si>
  <si>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</si>
  <si>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</si>
  <si>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</si>
  <si>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</si>
  <si>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</si>
  <si>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</si>
  <si>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</si>
  <si>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</si>
  <si>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</si>
  <si>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</si>
  <si>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</si>
  <si>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</si>
  <si>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</si>
  <si>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</si>
  <si>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</si>
  <si>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</si>
  <si>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</si>
  <si>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</si>
  <si>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</si>
  <si>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</si>
  <si>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</si>
  <si>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</si>
  <si>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</si>
  <si>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</si>
  <si>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</si>
  <si>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</si>
  <si>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</si>
  <si>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</si>
  <si>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</si>
  <si>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</si>
  <si>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</si>
  <si>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</si>
  <si>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</si>
  <si>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</si>
  <si>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</si>
  <si>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</si>
  <si>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</si>
  <si>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</si>
  <si>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</si>
  <si>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</si>
  <si>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</si>
  <si>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</si>
  <si>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</si>
  <si>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</si>
  <si>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</si>
  <si>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</si>
  <si>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</si>
  <si>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</si>
  <si>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</si>
  <si>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</si>
  <si>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</si>
  <si>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</si>
  <si>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</si>
  <si>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</si>
  <si>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</si>
  <si>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</si>
  <si>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</si>
  <si>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</si>
  <si>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</si>
  <si>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</si>
  <si>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</si>
  <si>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</si>
  <si>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</si>
  <si>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</si>
  <si>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</si>
  <si>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</si>
  <si>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</si>
  <si>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</si>
  <si>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</si>
  <si>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</si>
  <si>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</si>
  <si>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</si>
  <si>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</si>
  <si>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</si>
  <si>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</si>
  <si>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</si>
  <si>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</si>
  <si>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</si>
  <si>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</si>
  <si>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</si>
  <si>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</si>
  <si>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</si>
  <si>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</si>
  <si>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</si>
  <si>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</si>
  <si>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</si>
  <si>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</si>
  <si>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</si>
  <si>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</si>
  <si>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</si>
  <si>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</si>
  <si>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</si>
  <si>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</si>
  <si>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</si>
  <si>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</si>
  <si>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</si>
  <si>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</si>
  <si>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</si>
  <si>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</si>
  <si>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</si>
  <si>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</si>
  <si>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</si>
  <si>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</si>
  <si>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</si>
  <si>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</si>
  <si>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</si>
  <si>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</si>
  <si>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</si>
  <si>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</si>
  <si>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</si>
  <si>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</si>
  <si>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</si>
  <si>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</si>
  <si>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</si>
  <si>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</si>
  <si>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</si>
  <si>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</si>
  <si>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</si>
  <si>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</si>
  <si>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</si>
  <si>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</si>
  <si>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</si>
  <si>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</si>
  <si>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</si>
  <si>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</si>
  <si>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</si>
  <si>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</si>
  <si>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</si>
  <si>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</si>
  <si>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</si>
  <si>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</si>
  <si>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</si>
  <si>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</si>
  <si>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</si>
  <si>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</si>
  <si>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</si>
  <si>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</si>
  <si>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</si>
  <si>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</si>
  <si>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</si>
  <si>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</si>
  <si>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</si>
  <si>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</si>
  <si>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</si>
  <si>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</si>
  <si>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</si>
  <si>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</si>
  <si>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</si>
  <si>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</si>
  <si>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</si>
  <si>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</si>
  <si>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</si>
  <si>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</si>
  <si>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</si>
  <si>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</si>
  <si>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</si>
  <si>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</si>
  <si>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</si>
  <si>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</si>
  <si>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</si>
  <si>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</si>
  <si>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</si>
  <si>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</si>
  <si>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</si>
  <si>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</si>
  <si>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</si>
  <si>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</si>
  <si>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</si>
  <si>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</si>
  <si>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</si>
  <si>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</si>
  <si>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</si>
  <si>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</si>
  <si>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</si>
  <si>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</si>
  <si>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</si>
  <si>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</si>
  <si>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</si>
  <si>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</si>
  <si>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</si>
  <si>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</si>
  <si>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</si>
  <si>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</si>
  <si>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</si>
  <si>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</si>
  <si>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</si>
  <si>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</si>
  <si>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</si>
  <si>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</si>
  <si>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</si>
  <si>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</si>
  <si>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</si>
  <si>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</si>
  <si>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</si>
  <si>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</si>
  <si>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</si>
  <si>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</si>
  <si>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</si>
  <si>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</si>
  <si>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</si>
  <si>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</si>
  <si>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</si>
  <si>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</si>
  <si>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</si>
  <si>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</si>
  <si>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</si>
  <si>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</si>
  <si>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</si>
  <si>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</si>
  <si>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</si>
  <si>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</si>
  <si>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</si>
  <si>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</si>
  <si>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</si>
  <si>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</si>
  <si>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</si>
  <si>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</si>
  <si>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</si>
  <si>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</si>
  <si>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</si>
  <si>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</si>
  <si>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</si>
  <si>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</si>
  <si>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</si>
  <si>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</si>
  <si>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</si>
  <si>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</si>
  <si>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</si>
  <si>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</si>
  <si>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</si>
  <si>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</si>
  <si>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</si>
  <si>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</si>
  <si>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</si>
  <si>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</si>
  <si>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</si>
  <si>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</si>
  <si>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</si>
  <si>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</si>
  <si>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</si>
  <si>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</si>
  <si>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</si>
  <si>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</si>
  <si>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</si>
  <si>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</si>
  <si>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</si>
  <si>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</si>
  <si>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</si>
  <si>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</si>
  <si>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</si>
  <si>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</si>
  <si>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</si>
  <si>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</si>
  <si>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</si>
  <si>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</si>
  <si>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</si>
  <si>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</si>
  <si>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</si>
  <si>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</si>
  <si>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</si>
  <si>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</si>
  <si>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</si>
  <si>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</si>
  <si>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</si>
  <si>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</si>
  <si>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</si>
  <si>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</si>
  <si>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</si>
  <si>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</si>
  <si>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</si>
  <si>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</si>
  <si>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</si>
  <si>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</si>
  <si>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</si>
  <si>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</si>
  <si>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</si>
  <si>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</si>
  <si>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</si>
  <si>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</si>
  <si>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</si>
  <si>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</si>
  <si>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</si>
  <si>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</si>
  <si>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</si>
  <si>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</si>
  <si>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</si>
  <si>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</si>
  <si>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</si>
  <si>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</si>
  <si>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</si>
  <si>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</si>
  <si>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</si>
  <si>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</si>
  <si>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</si>
  <si>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</si>
  <si>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</si>
  <si>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</si>
  <si>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</si>
  <si>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</si>
  <si>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</si>
  <si>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</si>
  <si>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</si>
  <si>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</si>
  <si>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</si>
  <si>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</si>
  <si>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</si>
  <si>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</si>
  <si>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</si>
  <si>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</si>
  <si>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</si>
  <si>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</si>
  <si>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</si>
  <si>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</si>
  <si>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</si>
  <si>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</si>
  <si>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</si>
  <si>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</si>
  <si>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</si>
  <si>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</si>
  <si>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</si>
  <si>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</si>
  <si>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</si>
  <si>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</si>
  <si>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</si>
  <si>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</si>
  <si>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</si>
  <si>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</si>
  <si>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</si>
  <si>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</si>
  <si>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</si>
  <si>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</si>
  <si>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</si>
  <si>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</si>
  <si>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</si>
  <si>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</si>
  <si>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</si>
  <si>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</si>
  <si>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</si>
  <si>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</si>
  <si>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</si>
  <si>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</si>
  <si>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</si>
  <si>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</si>
  <si>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</si>
  <si>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</si>
  <si>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</si>
  <si>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</si>
  <si>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</si>
  <si>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</si>
  <si>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</si>
  <si>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</si>
  <si>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</si>
  <si>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</si>
  <si>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</si>
  <si>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</si>
  <si>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</si>
  <si>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</si>
  <si>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</si>
  <si>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</si>
  <si>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</si>
  <si>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</si>
  <si>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</si>
  <si>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</si>
  <si>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</si>
  <si>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</si>
  <si>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</si>
  <si>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</si>
  <si>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</si>
  <si>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</si>
  <si>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</si>
  <si>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</si>
  <si>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</si>
  <si>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</si>
  <si>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</si>
  <si>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</si>
  <si>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</si>
  <si>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</si>
  <si>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</si>
  <si>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</si>
  <si>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</si>
  <si>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</si>
  <si>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</si>
  <si>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</si>
  <si>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</si>
  <si>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</si>
  <si>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</si>
  <si>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</si>
  <si>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</si>
  <si>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</si>
  <si>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</si>
  <si>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</si>
  <si>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</si>
  <si>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</si>
  <si>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</si>
  <si>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</si>
  <si>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</si>
  <si>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</si>
  <si>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</si>
  <si>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</si>
  <si>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</si>
  <si>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</si>
  <si>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</si>
  <si>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</si>
  <si>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</si>
  <si>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</si>
  <si>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</si>
  <si>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</si>
  <si>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</si>
  <si>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</si>
  <si>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</si>
  <si>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</si>
  <si>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</si>
  <si>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</si>
  <si>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</si>
  <si>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</si>
  <si>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</si>
  <si>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</si>
  <si>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</si>
  <si>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</si>
  <si>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</si>
  <si>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</si>
  <si>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</si>
  <si>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</si>
  <si>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</si>
  <si>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</si>
  <si>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</si>
  <si>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</si>
  <si>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</si>
  <si>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</si>
  <si>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</si>
  <si>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</si>
  <si>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</si>
  <si>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</si>
  <si>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</si>
  <si>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</si>
  <si>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</si>
  <si>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</si>
  <si>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</si>
  <si>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</si>
  <si>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</si>
  <si>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</si>
  <si>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</si>
  <si>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</si>
  <si>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</si>
  <si>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</si>
  <si>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</si>
  <si>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</si>
  <si>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</si>
  <si>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</si>
  <si>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</si>
  <si>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</si>
  <si>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</si>
  <si>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</si>
  <si>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</si>
  <si>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</si>
  <si>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</si>
  <si>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</si>
  <si>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</si>
  <si>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</si>
  <si>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</si>
  <si>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</si>
  <si>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</si>
  <si>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</si>
  <si>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</si>
  <si>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</si>
  <si>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</si>
  <si>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</si>
  <si>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</si>
  <si>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</si>
  <si>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</si>
  <si>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</si>
  <si>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</si>
  <si>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</si>
  <si>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</si>
  <si>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</si>
  <si>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</si>
  <si>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</si>
  <si>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</si>
  <si>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</si>
  <si>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</si>
  <si>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</si>
  <si>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</si>
  <si>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</si>
  <si>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</si>
  <si>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</si>
  <si>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</si>
  <si>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</si>
  <si>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</si>
  <si>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</si>
  <si>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</si>
  <si>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</si>
  <si>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</si>
  <si>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</si>
  <si>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</si>
  <si>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</si>
  <si>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</si>
  <si>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</si>
  <si>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</si>
  <si>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</si>
  <si>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</si>
  <si>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</si>
  <si>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</si>
  <si>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</si>
  <si>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</si>
  <si>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</si>
  <si>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</si>
  <si>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</si>
  <si>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</si>
  <si>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</si>
  <si>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</si>
  <si>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</si>
  <si>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</si>
  <si>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</si>
  <si>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</si>
  <si>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</si>
  <si>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</si>
  <si>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</si>
  <si>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</si>
  <si>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</si>
  <si>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</si>
  <si>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</si>
  <si>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</si>
  <si>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</si>
  <si>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</si>
  <si>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</si>
  <si>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</si>
  <si>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</si>
  <si>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</si>
  <si>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</si>
  <si>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</si>
  <si>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</si>
  <si>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</si>
  <si>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</si>
  <si>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</si>
  <si>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</si>
  <si>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</si>
  <si>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</si>
  <si>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</si>
  <si>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</si>
  <si>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</si>
  <si>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</si>
  <si>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</si>
  <si>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</si>
  <si>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</si>
  <si>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</si>
  <si>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</si>
  <si>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</si>
  <si>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</si>
  <si>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</si>
  <si>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</si>
  <si>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</si>
  <si>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</si>
  <si>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</si>
  <si>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</si>
  <si>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</si>
  <si>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</si>
  <si>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</si>
  <si>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</si>
  <si>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</si>
  <si>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</si>
  <si>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</si>
  <si>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</si>
  <si>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</si>
  <si>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</si>
  <si>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</si>
  <si>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</si>
  <si>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</si>
  <si>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</si>
  <si>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</si>
  <si>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</si>
  <si>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</si>
  <si>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</si>
  <si>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</si>
  <si>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</si>
  <si>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</si>
  <si>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</si>
  <si>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</si>
  <si>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</si>
  <si>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</si>
  <si>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</si>
  <si>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</si>
  <si>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</si>
  <si>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</si>
  <si>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</si>
  <si>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</si>
  <si>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</si>
  <si>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</si>
  <si>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</si>
  <si>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</si>
  <si>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</si>
  <si>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</si>
  <si>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</si>
  <si>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</si>
  <si>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</si>
  <si>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</si>
  <si>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</si>
  <si>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</si>
  <si>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</si>
  <si>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</si>
  <si>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</si>
  <si>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</si>
  <si>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</si>
  <si>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</si>
  <si>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</si>
  <si>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</si>
  <si>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</si>
  <si>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</si>
  <si>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</si>
  <si>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</si>
  <si>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</si>
  <si>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</si>
  <si>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</si>
  <si>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</si>
  <si>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</si>
  <si>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</si>
  <si>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</si>
  <si>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</si>
  <si>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</si>
  <si>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</si>
  <si>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</si>
  <si>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</si>
  <si>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</si>
  <si>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</si>
  <si>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</si>
  <si>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</si>
  <si>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</si>
  <si>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</si>
  <si>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</si>
  <si>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</si>
  <si>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</si>
  <si>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</si>
  <si>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</si>
  <si>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</si>
  <si>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</si>
  <si>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</si>
  <si>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</si>
  <si>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</si>
  <si>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</si>
  <si>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</si>
  <si>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</si>
  <si>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</si>
  <si>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</si>
  <si>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</si>
  <si>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</si>
  <si>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</si>
  <si>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</si>
  <si>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</si>
  <si>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</si>
  <si>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</si>
  <si>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</si>
  <si>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</si>
  <si>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</si>
  <si>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</si>
  <si>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</si>
  <si>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</si>
  <si>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</si>
  <si>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</si>
  <si>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</si>
  <si>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</si>
  <si>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</si>
  <si>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</si>
  <si>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</si>
  <si>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</si>
  <si>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</si>
  <si>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</si>
  <si>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</si>
  <si>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</si>
  <si>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</si>
  <si>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</si>
  <si>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</si>
  <si>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</si>
  <si>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</si>
  <si>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</si>
  <si>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</si>
  <si>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</si>
  <si>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</si>
  <si>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</si>
  <si>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</si>
  <si>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</si>
  <si>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</si>
  <si>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</si>
  <si>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</si>
  <si>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</si>
  <si>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</si>
  <si>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</si>
  <si>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</si>
  <si>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</si>
  <si>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</si>
  <si>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</si>
  <si>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</si>
  <si>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</si>
  <si>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</si>
  <si>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</si>
  <si>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</si>
  <si>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</si>
  <si>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</si>
  <si>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</si>
  <si>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</si>
  <si>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</si>
  <si>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</si>
  <si>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</si>
  <si>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</si>
  <si>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</si>
  <si>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</si>
  <si>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</si>
  <si>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</si>
  <si>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</si>
  <si>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</si>
  <si>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</si>
  <si>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</si>
  <si>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</si>
  <si>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</si>
  <si>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</si>
  <si>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</si>
  <si>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</si>
  <si>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</si>
  <si>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</si>
  <si>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</si>
  <si>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</si>
  <si>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</si>
  <si>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</si>
  <si>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</si>
  <si>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</si>
  <si>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</si>
  <si>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</si>
  <si>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</si>
  <si>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</si>
  <si>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</si>
  <si>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</si>
  <si>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</si>
  <si>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</si>
  <si>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</si>
  <si>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</si>
  <si>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</si>
  <si>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</si>
  <si>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</si>
  <si>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</si>
  <si>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</si>
  <si>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</si>
  <si>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</si>
  <si>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</si>
  <si>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</si>
  <si>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</si>
  <si>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</si>
  <si>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</si>
  <si>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</si>
  <si>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</si>
  <si>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</si>
  <si>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</si>
  <si>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</si>
  <si>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</si>
  <si>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</si>
  <si>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</si>
  <si>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</si>
  <si>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</si>
  <si>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</si>
  <si>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</si>
  <si>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</si>
  <si>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</si>
  <si>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</si>
  <si>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</si>
  <si>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</si>
  <si>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</si>
  <si>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</si>
  <si>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</si>
  <si>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</si>
  <si>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</si>
  <si>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</si>
  <si>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</si>
  <si>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</si>
  <si>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</si>
  <si>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</si>
  <si>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</si>
  <si>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</si>
  <si>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</si>
  <si>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</si>
  <si>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</si>
  <si>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</si>
  <si>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</si>
  <si>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</si>
  <si>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</si>
  <si>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</si>
  <si>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</si>
  <si>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</si>
  <si>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</si>
  <si>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</si>
  <si>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</si>
  <si>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</si>
  <si>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</si>
  <si>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</si>
  <si>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</si>
  <si>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</si>
  <si>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</si>
  <si>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</si>
  <si>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</si>
  <si>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</si>
  <si>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</si>
  <si>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</si>
  <si>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</si>
  <si>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</si>
  <si>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</si>
  <si>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</si>
  <si>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</si>
  <si>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</si>
  <si>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</si>
  <si>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</si>
  <si>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</si>
  <si>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</si>
  <si>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</si>
  <si>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</si>
  <si>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</si>
  <si>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</si>
  <si>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</si>
  <si>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</si>
  <si>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</si>
  <si>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</si>
  <si>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</si>
  <si>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</si>
  <si>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</si>
  <si>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</si>
  <si>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</si>
  <si>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</si>
  <si>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</si>
  <si>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</si>
  <si>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</si>
  <si>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</si>
  <si>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</si>
  <si>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</si>
  <si>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</si>
  <si>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</si>
  <si>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</si>
  <si>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</si>
  <si>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</si>
  <si>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</si>
  <si>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</si>
  <si>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</si>
  <si>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</si>
  <si>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</si>
  <si>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</si>
  <si>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</si>
  <si>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</si>
  <si>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</si>
  <si>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</si>
  <si>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</si>
  <si>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</si>
  <si>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</si>
  <si>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</si>
  <si>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</si>
  <si>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</si>
  <si>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</si>
  <si>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</si>
  <si>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</si>
  <si>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</si>
  <si>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</si>
  <si>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</si>
  <si>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</si>
  <si>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</si>
  <si>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</si>
  <si>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</si>
  <si>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</si>
  <si>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</si>
  <si>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</si>
  <si>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</si>
  <si>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</si>
  <si>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</si>
  <si>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</si>
  <si>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</si>
  <si>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</si>
  <si>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</si>
  <si>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</si>
  <si>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</si>
  <si>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</si>
  <si>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</si>
  <si>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</si>
  <si>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</si>
  <si>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</si>
  <si>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</si>
  <si>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</si>
  <si>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</si>
  <si>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</si>
  <si>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</si>
  <si>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</si>
  <si>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</si>
  <si>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</si>
  <si>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</si>
  <si>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</si>
  <si>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</si>
  <si>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</si>
  <si>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</si>
  <si>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</si>
  <si>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</si>
  <si>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</si>
  <si>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</si>
  <si>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</si>
  <si>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</si>
  <si>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</si>
  <si>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</si>
  <si>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</si>
  <si>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</si>
  <si>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</si>
  <si>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</si>
  <si>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</si>
  <si>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</si>
  <si>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</si>
  <si>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</si>
  <si>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</si>
  <si>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</si>
  <si>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</si>
  <si>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</si>
  <si>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</si>
  <si>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</si>
  <si>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</si>
  <si>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</si>
  <si>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</si>
  <si>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</si>
  <si>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</si>
  <si>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</si>
  <si>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</si>
  <si>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</si>
  <si>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</si>
  <si>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</si>
  <si>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</si>
  <si>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</si>
  <si>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</si>
  <si>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</si>
  <si>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</si>
  <si>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</si>
  <si>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</si>
  <si>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</si>
  <si>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</si>
  <si>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</si>
  <si>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</si>
  <si>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</si>
  <si>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</si>
  <si>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</si>
  <si>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</si>
  <si>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</si>
  <si>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</si>
  <si>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</si>
  <si>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</si>
  <si>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</si>
  <si>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</si>
  <si>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</si>
  <si>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</si>
  <si>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</si>
  <si>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</si>
  <si>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</si>
  <si>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</si>
  <si>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</si>
  <si>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</si>
  <si>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</si>
  <si>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</si>
  <si>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</si>
  <si>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</si>
  <si>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</si>
  <si>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</si>
  <si>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</si>
  <si>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</si>
  <si>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</si>
  <si>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</si>
  <si>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</si>
  <si>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</si>
  <si>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</si>
  <si>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</si>
  <si>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</si>
  <si>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</si>
  <si>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</si>
  <si>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</si>
  <si>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</si>
  <si>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</si>
  <si>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</si>
  <si>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</si>
  <si>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</si>
  <si>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</si>
  <si>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</si>
  <si>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</si>
  <si>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</si>
  <si>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</si>
  <si>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</si>
  <si>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</si>
  <si>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</si>
  <si>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</si>
  <si>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</si>
  <si>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</si>
  <si>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</si>
  <si>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</si>
  <si>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</si>
  <si>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</si>
  <si>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</si>
  <si>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</si>
  <si>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</si>
  <si>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</si>
  <si>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</si>
  <si>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</si>
  <si>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</si>
  <si>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</si>
  <si>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</si>
  <si>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</si>
  <si>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</si>
  <si>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</si>
  <si>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</si>
  <si>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</si>
  <si>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</si>
  <si>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</si>
  <si>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</si>
  <si>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</si>
  <si>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</si>
  <si>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</si>
  <si>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</si>
  <si>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</si>
  <si>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</si>
  <si>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</si>
  <si>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</si>
  <si>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</si>
  <si>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</si>
  <si>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</si>
  <si>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</si>
  <si>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</si>
  <si>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</si>
  <si>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</si>
  <si>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</si>
  <si>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</si>
  <si>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</si>
  <si>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</si>
  <si>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</si>
  <si>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</si>
  <si>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</si>
  <si>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</si>
  <si>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</si>
  <si>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</si>
  <si>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</si>
  <si>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</si>
  <si>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</si>
  <si>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</si>
  <si>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</si>
  <si>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</si>
  <si>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</si>
  <si>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</si>
  <si>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</si>
  <si>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</si>
  <si>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</si>
  <si>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</si>
  <si>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</si>
  <si>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</si>
  <si>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</si>
  <si>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</si>
  <si>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</si>
  <si>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</si>
  <si>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</si>
  <si>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</si>
  <si>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</si>
  <si>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</si>
  <si>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</si>
  <si>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</si>
  <si>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</si>
  <si>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</si>
  <si>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</si>
  <si>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</si>
  <si>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</si>
  <si>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</si>
  <si>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</si>
  <si>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</si>
  <si>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</si>
  <si>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</si>
  <si>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</si>
  <si>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</si>
  <si>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</si>
  <si>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</si>
  <si>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</si>
  <si>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</si>
  <si>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</si>
  <si>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</si>
  <si>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</si>
  <si>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</si>
  <si>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</si>
  <si>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</si>
  <si>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</si>
  <si>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</si>
  <si>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</si>
  <si>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</si>
  <si>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</si>
  <si>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</si>
  <si>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</si>
  <si>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</si>
  <si>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</si>
  <si>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</si>
  <si>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</si>
  <si>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</si>
  <si>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</si>
  <si>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</si>
  <si>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</si>
  <si>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</si>
  <si>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</si>
  <si>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</si>
  <si>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</si>
  <si>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</si>
  <si>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</si>
  <si>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</si>
  <si>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</si>
  <si>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</si>
  <si>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</si>
  <si>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</si>
  <si>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</si>
  <si>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</si>
  <si>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</si>
  <si>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</si>
  <si>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</si>
  <si>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</si>
  <si>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</si>
  <si>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</si>
  <si>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</si>
  <si>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</si>
  <si>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</si>
  <si>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</si>
  <si>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</si>
  <si>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</si>
  <si>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</si>
  <si>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</si>
  <si>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</si>
  <si>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</si>
  <si>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</si>
  <si>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</si>
  <si>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</si>
  <si>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</si>
  <si>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</si>
  <si>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</si>
  <si>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</si>
  <si>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</si>
  <si>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</si>
  <si>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</si>
  <si>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</si>
  <si>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</si>
  <si>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</si>
  <si>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</si>
  <si>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</si>
  <si>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</si>
  <si>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</si>
  <si>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</si>
  <si>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</si>
  <si>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</si>
  <si>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</si>
  <si>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</si>
  <si>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</si>
  <si>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</si>
  <si>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</si>
  <si>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</si>
  <si>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</si>
  <si>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</si>
  <si>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</si>
  <si>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</si>
  <si>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</si>
  <si>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</si>
  <si>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</si>
  <si>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</si>
  <si>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</si>
  <si>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</si>
  <si>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</si>
  <si>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</si>
  <si>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</si>
  <si>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</si>
  <si>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</si>
  <si>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</si>
  <si>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</si>
  <si>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</si>
  <si>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</si>
  <si>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</si>
  <si>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</si>
  <si>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</si>
  <si>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</si>
  <si>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</si>
  <si>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</si>
  <si>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</si>
  <si>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</si>
  <si>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</si>
  <si>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</si>
  <si>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</si>
  <si>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</si>
  <si>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</si>
  <si>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</si>
  <si>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</si>
  <si>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</si>
  <si>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</si>
  <si>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</si>
  <si>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</si>
  <si>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</si>
  <si>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</si>
  <si>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</si>
  <si>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</si>
  <si>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</si>
  <si>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</si>
  <si>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</si>
  <si>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</si>
  <si>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</si>
  <si>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</si>
  <si>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</si>
  <si>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</si>
  <si>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</si>
  <si>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</si>
  <si>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</si>
  <si>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</si>
  <si>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</si>
  <si>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</si>
  <si>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</si>
  <si>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</si>
  <si>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</si>
  <si>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</si>
  <si>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</si>
  <si>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</si>
  <si>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</si>
  <si>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</si>
  <si>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</si>
  <si>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</si>
  <si>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</si>
  <si>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</si>
  <si>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</si>
  <si>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</si>
  <si>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</si>
  <si>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</si>
  <si>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</si>
  <si>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</si>
  <si>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</si>
  <si>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</si>
  <si>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</si>
  <si>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</si>
  <si>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</si>
  <si>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</si>
  <si>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</si>
  <si>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</si>
  <si>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</si>
  <si>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</si>
  <si>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</si>
  <si>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</si>
  <si>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</si>
  <si>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</si>
  <si>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</si>
  <si>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</si>
  <si>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</si>
  <si>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</si>
  <si>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</si>
  <si>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</si>
  <si>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</si>
  <si>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</si>
  <si>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</si>
  <si>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</si>
  <si>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</si>
  <si>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</si>
  <si>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</si>
  <si>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</si>
  <si>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</si>
  <si>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</si>
  <si>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</si>
  <si>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</si>
  <si>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</si>
  <si>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</si>
  <si>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</si>
  <si>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</si>
  <si>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</si>
  <si>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</si>
  <si>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</si>
  <si>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</si>
  <si>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</si>
  <si>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</si>
  <si>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</si>
  <si>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</si>
  <si>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</si>
  <si>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</si>
  <si>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</si>
  <si>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</si>
  <si>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</si>
  <si>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</si>
  <si>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</si>
  <si>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</si>
  <si>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</si>
  <si>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</si>
  <si>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</si>
  <si>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</si>
  <si>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</si>
  <si>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</si>
  <si>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</si>
  <si>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</si>
  <si>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</si>
  <si>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</si>
  <si>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</si>
  <si>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</si>
  <si>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</si>
  <si>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</si>
  <si>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</si>
  <si>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</si>
  <si>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</si>
  <si>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</si>
  <si>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</si>
  <si>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</si>
  <si>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</si>
  <si>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</si>
  <si>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</si>
  <si>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</si>
  <si>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</si>
  <si>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</si>
  <si>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</si>
  <si>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</si>
  <si>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</si>
  <si>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</si>
  <si>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</si>
  <si>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</si>
  <si>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</si>
  <si>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</si>
  <si>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</si>
  <si>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</si>
  <si>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</si>
  <si>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</si>
  <si>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</si>
  <si>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</si>
  <si>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</si>
  <si>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</si>
  <si>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</si>
  <si>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</si>
  <si>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</si>
  <si>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</si>
  <si>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</si>
  <si>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</si>
  <si>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</si>
  <si>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</si>
  <si>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</si>
  <si>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</si>
  <si>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</si>
  <si>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</si>
  <si>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</si>
  <si>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</si>
  <si>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</si>
  <si>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</si>
  <si>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</si>
  <si>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</si>
  <si>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</si>
  <si>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</si>
  <si>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</si>
  <si>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</si>
  <si>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</si>
  <si>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</si>
  <si>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</si>
  <si>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</si>
  <si>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</si>
  <si>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</si>
  <si>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</si>
  <si>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</si>
  <si>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</si>
  <si>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</si>
  <si>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</si>
  <si>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</si>
  <si>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</si>
  <si>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</si>
  <si>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</si>
  <si>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</si>
  <si>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</si>
  <si>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</si>
  <si>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</si>
  <si>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</si>
  <si>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</si>
  <si>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</si>
  <si>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</si>
  <si>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</si>
  <si>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</si>
  <si>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</si>
  <si>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</si>
  <si>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</si>
  <si>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</si>
  <si>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</si>
  <si>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</si>
  <si>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</si>
  <si>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</si>
  <si>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</si>
  <si>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</si>
  <si>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</si>
  <si>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</si>
  <si>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</si>
  <si>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</si>
  <si>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</si>
  <si>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</si>
  <si>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</si>
  <si>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</si>
  <si>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</si>
  <si>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</si>
  <si>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</si>
  <si>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</si>
  <si>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</si>
  <si>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</si>
  <si>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</si>
  <si>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</si>
  <si>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</si>
  <si>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</si>
  <si>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</si>
  <si>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</si>
  <si>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</si>
  <si>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</si>
  <si>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</si>
  <si>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</si>
  <si>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</si>
  <si>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</si>
  <si>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</si>
  <si>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</si>
  <si>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</si>
  <si>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</si>
  <si>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</si>
  <si>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</si>
  <si>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</si>
  <si>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</si>
  <si>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</si>
  <si>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</si>
  <si>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</si>
  <si>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</si>
  <si>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</si>
  <si>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</si>
  <si>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</si>
  <si>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</si>
  <si>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</si>
  <si>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</si>
  <si>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</si>
  <si>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</si>
  <si>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</si>
  <si>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</si>
  <si>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</si>
  <si>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</si>
  <si>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</si>
  <si>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</si>
  <si>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</si>
  <si>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</si>
  <si>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</si>
  <si>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</si>
  <si>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</si>
  <si>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</si>
  <si>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</si>
  <si>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</si>
  <si>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</si>
  <si>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</si>
  <si>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</si>
  <si>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</si>
  <si>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</si>
  <si>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</si>
  <si>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</si>
  <si>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</si>
  <si>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</si>
  <si>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</si>
  <si>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</si>
  <si>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</si>
  <si>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</si>
  <si>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</si>
  <si>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</si>
  <si>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</si>
  <si>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</si>
  <si>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</si>
  <si>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</si>
  <si>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</si>
  <si>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</si>
  <si>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</si>
  <si>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</si>
  <si>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</si>
  <si>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</si>
  <si>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</si>
  <si>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</si>
  <si>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</si>
  <si>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</si>
  <si>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</si>
  <si>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</si>
  <si>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</si>
  <si>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</si>
  <si>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</si>
  <si>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</si>
  <si>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</si>
  <si>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</si>
  <si>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</si>
  <si>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</si>
  <si>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</si>
  <si>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</si>
  <si>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</si>
  <si>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</si>
  <si>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</si>
  <si>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</si>
  <si>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</si>
  <si>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</si>
  <si>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</si>
  <si>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</si>
  <si>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</si>
  <si>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</si>
  <si>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</si>
  <si>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</si>
  <si>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</si>
  <si>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</si>
  <si>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</si>
  <si>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</si>
  <si>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</si>
  <si>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</si>
  <si>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</si>
  <si>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</si>
  <si>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</si>
  <si>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</si>
  <si>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</si>
  <si>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</si>
  <si>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</si>
  <si>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</si>
  <si>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</si>
  <si>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</si>
  <si>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</si>
  <si>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</si>
  <si>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</si>
  <si>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</si>
  <si>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</si>
  <si>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</si>
  <si>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</si>
  <si>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</si>
  <si>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</si>
  <si>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</si>
  <si>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</si>
  <si>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</si>
  <si>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</si>
  <si>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</si>
  <si>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</si>
  <si>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</si>
  <si>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</si>
  <si>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</si>
  <si>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</si>
  <si>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</si>
  <si>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</si>
  <si>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</si>
  <si>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</si>
  <si>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</si>
  <si>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</si>
  <si>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</si>
  <si>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</si>
  <si>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</si>
  <si>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</si>
  <si>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</si>
  <si>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</si>
  <si>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</si>
  <si>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</si>
  <si>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</si>
  <si>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</si>
  <si>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</si>
  <si>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</si>
  <si>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</si>
  <si>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</si>
  <si>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</si>
  <si>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</si>
  <si>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</si>
  <si>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</si>
  <si>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</si>
  <si>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</si>
  <si>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</si>
  <si>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</si>
  <si>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</si>
  <si>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</si>
  <si>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</si>
  <si>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</si>
  <si>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</si>
  <si>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</si>
  <si>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</si>
  <si>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</si>
  <si>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</si>
  <si>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</si>
  <si>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</si>
  <si>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</si>
  <si>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</si>
  <si>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</si>
  <si>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</si>
  <si>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</si>
  <si>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</si>
  <si>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</si>
  <si>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</si>
  <si>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</si>
  <si>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</si>
  <si>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</si>
  <si>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</si>
  <si>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</si>
  <si>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</si>
  <si>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</si>
  <si>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</si>
  <si>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</si>
  <si>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</si>
  <si>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</si>
  <si>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</si>
  <si>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</si>
  <si>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</si>
  <si>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</si>
  <si>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</si>
  <si>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</si>
  <si>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</si>
  <si>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</si>
  <si>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</si>
  <si>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</si>
  <si>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</si>
  <si>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</si>
  <si>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</si>
  <si>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</si>
  <si>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</si>
  <si>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</si>
  <si>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</si>
  <si>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</si>
  <si>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</si>
  <si>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</si>
  <si>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</si>
  <si>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</si>
  <si>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</si>
  <si>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</si>
  <si>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</si>
  <si>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</si>
  <si>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</si>
  <si>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</si>
  <si>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</si>
  <si>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</si>
  <si>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</si>
  <si>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</si>
  <si>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</si>
  <si>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</si>
  <si>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</si>
  <si>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</si>
  <si>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</si>
  <si>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</si>
  <si>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</si>
  <si>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</si>
  <si>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</si>
  <si>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</si>
  <si>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</si>
  <si>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</si>
  <si>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</si>
  <si>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</si>
  <si>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</si>
  <si>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</si>
  <si>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</si>
  <si>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</si>
  <si>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</si>
  <si>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</si>
  <si>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</si>
  <si>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</si>
  <si>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</si>
  <si>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</si>
  <si>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</si>
  <si>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</si>
  <si>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</si>
  <si>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</si>
  <si>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</si>
  <si>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</si>
  <si>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</si>
  <si>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</si>
  <si>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</si>
  <si>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</si>
  <si>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</si>
  <si>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</si>
  <si>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</si>
  <si>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</si>
  <si>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</si>
  <si>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</si>
  <si>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</si>
  <si>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</si>
  <si>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</si>
  <si>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</si>
  <si>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</si>
  <si>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</si>
  <si>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</si>
  <si>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</si>
  <si>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</si>
  <si>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</si>
  <si>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</si>
  <si>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</si>
  <si>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</si>
  <si>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</si>
  <si>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</si>
  <si>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</si>
  <si>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</si>
  <si>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</si>
  <si>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</si>
  <si>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</si>
  <si>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</si>
  <si>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</si>
  <si>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</si>
  <si>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</si>
  <si>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</si>
  <si>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</si>
  <si>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</si>
  <si>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</si>
  <si>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</si>
  <si>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</si>
  <si>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</si>
  <si>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</si>
  <si>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</si>
  <si>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</si>
  <si>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</si>
  <si>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</si>
  <si>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</si>
  <si>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</si>
  <si>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</si>
  <si>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</si>
  <si>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</si>
  <si>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</si>
  <si>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</si>
  <si>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</si>
  <si>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</si>
  <si>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</si>
  <si>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</si>
  <si>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</si>
  <si>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</si>
  <si>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</si>
  <si>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</si>
  <si>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</si>
  <si>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</si>
  <si>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</si>
  <si>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</si>
  <si>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</si>
  <si>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</si>
  <si>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</si>
  <si>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</si>
  <si>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</si>
  <si>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</si>
  <si>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</si>
  <si>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</si>
  <si>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</si>
  <si>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</si>
  <si>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</si>
  <si>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</si>
  <si>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</si>
  <si>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</si>
  <si>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</si>
  <si>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</si>
  <si>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</si>
  <si>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</si>
  <si>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</si>
  <si>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</si>
  <si>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</si>
  <si>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</si>
  <si>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</si>
  <si>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</si>
  <si>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</si>
  <si>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</si>
  <si>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</si>
  <si>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</si>
  <si>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</si>
  <si>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</si>
  <si>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</si>
  <si>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</si>
  <si>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</si>
  <si>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</si>
  <si>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</si>
  <si>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</si>
  <si>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</si>
  <si>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</si>
  <si>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</si>
  <si>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</si>
  <si>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</si>
  <si>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</si>
  <si>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</si>
  <si>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</si>
  <si>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</si>
  <si>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</si>
  <si>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</si>
  <si>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</si>
  <si>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</si>
  <si>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</si>
  <si>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</si>
  <si>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</si>
  <si>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</si>
  <si>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</si>
  <si>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</si>
  <si>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</si>
  <si>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</si>
  <si>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</si>
  <si>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</si>
  <si>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</si>
  <si>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</si>
  <si>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</si>
  <si>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</si>
  <si>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</si>
  <si>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</si>
  <si>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</si>
  <si>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</si>
  <si>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</si>
  <si>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</si>
  <si>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</si>
  <si>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</si>
  <si>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</si>
  <si>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</si>
  <si>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</si>
  <si>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</si>
  <si>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</si>
  <si>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</si>
  <si>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</si>
  <si>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</si>
  <si>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</si>
  <si>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</si>
  <si>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</si>
  <si>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</si>
  <si>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</si>
  <si>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</si>
  <si>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</si>
  <si>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</si>
  <si>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</si>
  <si>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</si>
  <si>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</si>
  <si>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</si>
  <si>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</si>
  <si>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</si>
  <si>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</si>
  <si>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</si>
  <si>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</si>
  <si>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</si>
  <si>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</si>
  <si>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</si>
  <si>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</si>
  <si>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</si>
  <si>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</si>
  <si>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</si>
  <si>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</si>
  <si>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</si>
  <si>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</si>
  <si>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</si>
  <si>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</si>
  <si>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</si>
  <si>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</si>
  <si>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</si>
  <si>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</si>
  <si>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</si>
  <si>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</si>
  <si>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</si>
  <si>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</si>
  <si>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</si>
  <si>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</si>
  <si>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</si>
  <si>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</si>
  <si>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</si>
  <si>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</si>
  <si>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</si>
  <si>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</si>
  <si>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</si>
  <si>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</si>
  <si>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</si>
  <si>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</si>
  <si>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</si>
  <si>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</si>
  <si>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</si>
  <si>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</si>
  <si>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</si>
  <si>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</si>
  <si>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</si>
  <si>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</si>
  <si>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</si>
  <si>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</si>
  <si>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</si>
  <si>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</si>
  <si>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</si>
  <si>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</si>
  <si>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</si>
  <si>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</si>
  <si>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</si>
  <si>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</si>
  <si>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</si>
  <si>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</si>
  <si>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</si>
  <si>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</si>
  <si>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</si>
  <si>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</si>
  <si>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</si>
  <si>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</si>
  <si>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</si>
  <si>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</si>
  <si>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</si>
  <si>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</si>
  <si>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</si>
  <si>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</si>
  <si>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</si>
  <si>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</si>
  <si>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</si>
  <si>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</si>
  <si>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</si>
  <si>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</si>
  <si>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</si>
  <si>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</si>
  <si>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</si>
  <si>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</si>
  <si>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</si>
  <si>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</si>
  <si>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</si>
  <si>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</si>
  <si>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</si>
  <si>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</si>
  <si>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</si>
  <si>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</si>
  <si>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</si>
  <si>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</si>
  <si>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</si>
  <si>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</si>
  <si>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</si>
  <si>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</si>
  <si>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</si>
  <si>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</si>
  <si>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</si>
  <si>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</si>
  <si>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</si>
  <si>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</si>
  <si>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</si>
  <si>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</si>
  <si>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</si>
  <si>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</si>
  <si>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</si>
  <si>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</si>
  <si>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</si>
  <si>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</si>
  <si>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</si>
  <si>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</si>
  <si>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</si>
  <si>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</si>
  <si>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</si>
  <si>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</si>
  <si>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</si>
  <si>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</si>
  <si>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</si>
  <si>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</si>
  <si>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</si>
  <si>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</si>
  <si>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</si>
  <si>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</si>
  <si>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</si>
  <si>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</si>
  <si>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</si>
  <si>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</si>
  <si>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</si>
  <si>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</si>
  <si>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</si>
  <si>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</si>
  <si>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</si>
  <si>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</si>
  <si>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</si>
  <si>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</si>
  <si>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</si>
  <si>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</si>
  <si>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</si>
  <si>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</si>
  <si>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</si>
  <si>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</si>
  <si>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</si>
  <si>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</si>
  <si>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</si>
  <si>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</si>
  <si>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</si>
  <si>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</si>
  <si>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</si>
  <si>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</si>
  <si>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</si>
  <si>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</si>
  <si>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</si>
  <si>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</si>
  <si>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</si>
  <si>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</si>
  <si>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</si>
  <si>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</si>
  <si>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</si>
  <si>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</si>
  <si>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</si>
  <si>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</si>
  <si>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</si>
  <si>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</si>
  <si>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</si>
  <si>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</si>
  <si>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</si>
  <si>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</si>
  <si>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</si>
  <si>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</si>
  <si>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</si>
  <si>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</si>
  <si>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</si>
  <si>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</si>
  <si>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</si>
  <si>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</si>
  <si>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</si>
  <si>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</si>
  <si>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</si>
  <si>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</si>
  <si>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</si>
  <si>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</si>
  <si>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</si>
  <si>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</si>
  <si>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</si>
  <si>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</si>
  <si>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</si>
  <si>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</si>
  <si>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</si>
  <si>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</si>
  <si>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</si>
  <si>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</si>
  <si>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</si>
  <si>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</si>
  <si>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</si>
  <si>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</si>
  <si>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</si>
  <si>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</si>
  <si>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</si>
  <si>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</si>
  <si>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</si>
  <si>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</si>
  <si>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</si>
  <si>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</si>
  <si>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</si>
  <si>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</si>
  <si>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</si>
  <si>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</si>
  <si>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</si>
  <si>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</si>
  <si>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</si>
  <si>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</si>
  <si>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</si>
  <si>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</si>
  <si>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</si>
  <si>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</si>
  <si>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</si>
  <si>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</si>
  <si>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</si>
  <si>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</si>
  <si>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</si>
  <si>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</si>
  <si>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</si>
  <si>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</si>
  <si>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</si>
  <si>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</si>
  <si>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</si>
  <si>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</si>
  <si>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</si>
  <si>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</si>
  <si>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</si>
  <si>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</si>
  <si>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</si>
  <si>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</si>
  <si>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</si>
  <si>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</si>
  <si>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</si>
  <si>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</si>
  <si>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</si>
  <si>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</si>
  <si>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</si>
  <si>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</si>
  <si>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</si>
  <si>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</si>
  <si>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</si>
  <si>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</si>
  <si>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</si>
  <si>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</si>
  <si>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</si>
  <si>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</si>
  <si>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</si>
  <si>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</si>
  <si>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</si>
  <si>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</si>
  <si>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</si>
  <si>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</si>
  <si>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</si>
  <si>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</si>
  <si>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</si>
  <si>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</si>
  <si>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</si>
  <si>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</si>
  <si>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</si>
  <si>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</si>
  <si>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</si>
  <si>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</si>
  <si>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</si>
  <si>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</si>
  <si>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</si>
  <si>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</si>
  <si>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</si>
  <si>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</si>
  <si>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</si>
  <si>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</si>
  <si>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</si>
  <si>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</si>
  <si>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</si>
  <si>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</si>
  <si>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</si>
  <si>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</si>
  <si>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</si>
  <si>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</si>
  <si>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</si>
  <si>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</si>
  <si>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</si>
  <si>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</si>
  <si>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</si>
  <si>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</si>
  <si>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</si>
  <si>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</si>
  <si>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</si>
  <si>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</si>
  <si>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</si>
  <si>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</si>
  <si>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</si>
  <si>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</si>
  <si>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</si>
  <si>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</si>
  <si>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</si>
  <si>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</si>
  <si>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</si>
  <si>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</si>
  <si>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</si>
  <si>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</si>
  <si>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</si>
  <si>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</si>
  <si>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</si>
  <si>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</si>
  <si>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</si>
  <si>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</si>
  <si>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</si>
  <si>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</si>
  <si>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</si>
  <si>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</si>
  <si>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</si>
  <si>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</si>
  <si>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</si>
  <si>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</si>
  <si>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</si>
  <si>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</si>
  <si>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</si>
  <si>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</si>
  <si>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</si>
  <si>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</si>
  <si>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</si>
  <si>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</si>
  <si>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</si>
  <si>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</si>
  <si>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</si>
  <si>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</si>
  <si>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</si>
  <si>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</si>
  <si>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</si>
  <si>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</si>
  <si>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</si>
  <si>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</si>
  <si>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</si>
  <si>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</si>
  <si>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</si>
  <si>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</si>
  <si>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</si>
  <si>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</si>
  <si>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</si>
  <si>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</si>
  <si>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</si>
  <si>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</si>
  <si>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</si>
  <si>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</si>
  <si>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</si>
  <si>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</si>
  <si>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</si>
  <si>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</si>
  <si>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</si>
  <si>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</si>
  <si>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</si>
  <si>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</si>
  <si>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</si>
  <si>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</si>
  <si>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</si>
  <si>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</si>
  <si>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</si>
  <si>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</si>
  <si>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</si>
  <si>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</si>
  <si>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</si>
  <si>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</si>
  <si>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</si>
  <si>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</si>
  <si>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</si>
  <si>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</si>
  <si>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</si>
  <si>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</si>
  <si>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</si>
  <si>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</si>
  <si>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</si>
  <si>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</si>
  <si>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</si>
  <si>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</si>
  <si>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</si>
  <si>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</si>
  <si>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</si>
  <si>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</si>
  <si>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</si>
  <si>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</si>
  <si>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</si>
  <si>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</si>
  <si>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</si>
  <si>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</si>
  <si>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</si>
  <si>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</si>
  <si>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</si>
  <si>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</si>
  <si>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</si>
  <si>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</si>
  <si>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</si>
  <si>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</si>
  <si>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</si>
  <si>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</si>
  <si>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</si>
  <si>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</si>
  <si>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</si>
  <si>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</si>
  <si>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</si>
  <si>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</si>
  <si>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</si>
  <si>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</si>
  <si>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</si>
  <si>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</si>
  <si>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</si>
  <si>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</si>
  <si>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</si>
  <si>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</si>
  <si>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</si>
  <si>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</si>
  <si>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</si>
  <si>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</si>
  <si>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</si>
  <si>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</si>
  <si>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</si>
  <si>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</si>
  <si>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</si>
  <si>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</si>
  <si>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</si>
  <si>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</si>
  <si>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</si>
  <si>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</si>
  <si>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</si>
  <si>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</si>
  <si>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</si>
  <si>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</si>
  <si>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</si>
  <si>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</si>
  <si>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</si>
  <si>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</si>
  <si>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</si>
  <si>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</si>
  <si>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</si>
  <si>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</si>
  <si>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</si>
  <si>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</si>
  <si>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</si>
  <si>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</si>
  <si>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</si>
  <si>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</si>
  <si>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</si>
  <si>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</si>
  <si>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</si>
  <si>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</si>
  <si>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</si>
  <si>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</si>
  <si>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</si>
  <si>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</si>
  <si>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</si>
  <si>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</si>
  <si>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</si>
  <si>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</si>
  <si>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</si>
  <si>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</si>
  <si>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</si>
  <si>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</si>
  <si>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</si>
  <si>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</si>
  <si>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</si>
  <si>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</si>
  <si>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</si>
  <si>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</si>
  <si>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</si>
  <si>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</si>
  <si>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</si>
  <si>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</si>
  <si>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</si>
  <si>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</si>
  <si>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</si>
  <si>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</si>
  <si>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</si>
  <si>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</si>
  <si>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</si>
  <si>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</si>
  <si>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</si>
  <si>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</si>
  <si>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</si>
  <si>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</si>
  <si>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</si>
  <si>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</si>
  <si>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</si>
  <si>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</si>
  <si>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</si>
  <si>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</si>
  <si>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</si>
  <si>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</si>
  <si>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</si>
  <si>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</si>
  <si>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</si>
  <si>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</si>
  <si>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</si>
  <si>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</si>
  <si>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</si>
  <si>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</si>
  <si>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</si>
  <si>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</si>
  <si>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</si>
  <si>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</si>
  <si>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</si>
  <si>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</si>
  <si>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</si>
  <si>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</si>
  <si>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</si>
  <si>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</si>
  <si>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</si>
  <si>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</si>
  <si>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</si>
  <si>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</si>
  <si>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</si>
  <si>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</si>
  <si>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</si>
  <si>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</si>
  <si>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</si>
  <si>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</si>
  <si>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</si>
  <si>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</si>
  <si>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</si>
  <si>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</si>
  <si>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</si>
  <si>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</si>
  <si>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</si>
  <si>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</si>
  <si>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</si>
  <si>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</si>
  <si>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</si>
  <si>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</si>
  <si>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</si>
  <si>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</si>
  <si>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</si>
  <si>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</si>
  <si>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</si>
  <si>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</si>
  <si>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</si>
  <si>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</si>
  <si>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</si>
  <si>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</si>
  <si>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</si>
  <si>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</si>
  <si>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</si>
  <si>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</si>
  <si>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</si>
  <si>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</si>
  <si>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</si>
  <si>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</si>
  <si>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</si>
  <si>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</si>
  <si>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</si>
  <si>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</si>
  <si>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</si>
  <si>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</si>
  <si>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</si>
  <si>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</si>
  <si>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</si>
  <si>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</si>
  <si>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</si>
  <si>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</si>
  <si>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</si>
  <si>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</si>
  <si>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</si>
  <si>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</si>
  <si>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</si>
  <si>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</si>
  <si>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</si>
  <si>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</si>
  <si>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</si>
  <si>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</si>
  <si>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</si>
  <si>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</si>
  <si>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</si>
  <si>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</si>
  <si>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</si>
  <si>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</si>
  <si>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</si>
  <si>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</si>
  <si>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</si>
  <si>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</si>
  <si>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</si>
  <si>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</si>
  <si>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</si>
  <si>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</si>
  <si>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</si>
  <si>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</si>
  <si>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</si>
  <si>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</si>
  <si>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</si>
  <si>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</si>
  <si>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</si>
  <si>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</si>
  <si>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</si>
  <si>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</si>
  <si>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</si>
  <si>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</si>
  <si>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</si>
  <si>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</si>
  <si>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</si>
  <si>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</si>
  <si>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</si>
  <si>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</si>
  <si>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</si>
  <si>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</si>
  <si>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</si>
  <si>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</si>
  <si>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</si>
  <si>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</si>
  <si>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</si>
  <si>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</si>
  <si>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</si>
  <si>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</si>
  <si>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</si>
  <si>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</si>
  <si>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</si>
  <si>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</si>
  <si>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</si>
  <si>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</si>
  <si>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</si>
  <si>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</si>
  <si>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</si>
  <si>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</si>
  <si>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</si>
  <si>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</si>
  <si>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</si>
  <si>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</si>
  <si>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</si>
  <si>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</si>
  <si>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</si>
  <si>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</si>
  <si>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</si>
  <si>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</si>
  <si>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</si>
  <si>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</si>
  <si>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</si>
  <si>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</si>
  <si>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</si>
  <si>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</si>
  <si>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</si>
  <si>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</si>
  <si>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</si>
  <si>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</si>
  <si>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</si>
  <si>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</si>
  <si>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</si>
  <si>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</si>
  <si>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</si>
  <si>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</si>
  <si>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</si>
  <si>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</si>
  <si>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</si>
  <si>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</si>
  <si>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</si>
  <si>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</si>
  <si>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</si>
  <si>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</si>
  <si>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</si>
  <si>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</si>
  <si>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</si>
  <si>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</si>
  <si>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</si>
  <si>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</si>
  <si>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</si>
  <si>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</si>
  <si>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</si>
  <si>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</si>
  <si>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</si>
  <si>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</si>
  <si>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</si>
  <si>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</si>
  <si>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</si>
  <si>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</si>
  <si>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</si>
  <si>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</si>
  <si>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</si>
  <si>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</si>
  <si>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</si>
  <si>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</si>
  <si>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</si>
  <si>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</si>
  <si>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</si>
  <si>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</si>
  <si>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</si>
  <si>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</si>
  <si>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</si>
  <si>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</si>
  <si>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</si>
  <si>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</si>
  <si>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</si>
  <si>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</si>
  <si>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</si>
  <si>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</si>
  <si>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</si>
  <si>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</si>
  <si>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</si>
  <si>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</si>
  <si>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</si>
  <si>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</si>
  <si>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</si>
  <si>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</si>
  <si>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</si>
  <si>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</si>
  <si>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</si>
  <si>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</si>
  <si>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</si>
  <si>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</si>
  <si>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</si>
  <si>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</si>
  <si>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</si>
  <si>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</si>
  <si>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</si>
  <si>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</si>
  <si>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</si>
  <si>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</si>
  <si>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</si>
  <si>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</si>
  <si>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</si>
  <si>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</si>
  <si>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</si>
  <si>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</si>
  <si>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</si>
  <si>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</si>
  <si>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</si>
  <si>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</si>
  <si>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</si>
  <si>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</si>
  <si>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</si>
  <si>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</si>
  <si>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</si>
  <si>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</si>
  <si>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</si>
  <si>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</si>
  <si>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</si>
  <si>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</si>
  <si>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</si>
  <si>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</si>
  <si>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</si>
  <si>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</si>
  <si>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</si>
  <si>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</si>
  <si>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</si>
  <si>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</si>
  <si>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</si>
  <si>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</si>
  <si>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</si>
  <si>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</si>
  <si>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</si>
  <si>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</si>
  <si>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</si>
  <si>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</si>
  <si>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</si>
  <si>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</si>
  <si>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</si>
  <si>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</si>
  <si>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</si>
  <si>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</si>
  <si>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</si>
  <si>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</si>
  <si>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</si>
  <si>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</si>
  <si>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</si>
  <si>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</si>
  <si>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</si>
  <si>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</si>
  <si>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</si>
  <si>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</si>
  <si>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</si>
  <si>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</si>
  <si>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</si>
  <si>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</si>
  <si>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</si>
  <si>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</si>
  <si>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</si>
  <si>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</si>
  <si>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</si>
  <si>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</si>
  <si>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</si>
  <si>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</si>
  <si>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</si>
  <si>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</si>
  <si>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</si>
  <si>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</si>
  <si>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</si>
  <si>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</si>
  <si>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</si>
  <si>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</si>
  <si>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</si>
  <si>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</si>
  <si>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</si>
  <si>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</si>
  <si>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</si>
  <si>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</si>
  <si>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</si>
  <si>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</si>
  <si>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</si>
  <si>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</si>
  <si>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</si>
  <si>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</si>
  <si>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</si>
  <si>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</si>
  <si>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</si>
  <si>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</si>
  <si>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</si>
  <si>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</si>
  <si>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</si>
  <si>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</si>
  <si>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</si>
  <si>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</si>
  <si>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</si>
  <si>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</si>
  <si>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</si>
  <si>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</si>
  <si>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</si>
  <si>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</si>
  <si>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</si>
  <si>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</si>
  <si>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</si>
  <si>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</si>
  <si>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</si>
  <si>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</si>
  <si>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</si>
  <si>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</si>
  <si>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</si>
  <si>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</si>
  <si>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</si>
  <si>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</si>
  <si>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</si>
  <si>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</si>
  <si>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</si>
  <si>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</si>
  <si>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</si>
  <si>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</si>
  <si>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</si>
  <si>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</si>
  <si>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</si>
  <si>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</si>
  <si>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</si>
  <si>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</si>
  <si>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</si>
  <si>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</si>
  <si>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</si>
  <si>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</si>
  <si>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</si>
  <si>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</si>
  <si>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</si>
  <si>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</si>
  <si>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</si>
  <si>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</si>
  <si>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</si>
  <si>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</si>
  <si>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</si>
  <si>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</si>
  <si>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</si>
  <si>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</si>
  <si>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</si>
  <si>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</si>
  <si>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</si>
  <si>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</si>
  <si>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</si>
  <si>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</si>
  <si>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</si>
  <si>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</si>
  <si>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</si>
  <si>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</si>
  <si>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</si>
  <si>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</si>
  <si>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</si>
  <si>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</si>
  <si>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</si>
  <si>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</si>
  <si>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</si>
  <si>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</si>
  <si>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</si>
  <si>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</si>
  <si>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</si>
  <si>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</si>
  <si>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</si>
  <si>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</si>
  <si>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</si>
  <si>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</si>
  <si>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</si>
  <si>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</si>
  <si>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</si>
  <si>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</si>
  <si>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</si>
  <si>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</si>
  <si>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</si>
  <si>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</si>
  <si>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</si>
  <si>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</si>
  <si>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</si>
  <si>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</si>
  <si>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</si>
  <si>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</si>
  <si>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</si>
  <si>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</si>
  <si>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</si>
  <si>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</si>
  <si>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</si>
  <si>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</si>
  <si>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</si>
  <si>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</si>
  <si>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</si>
  <si>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</si>
  <si>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</si>
  <si>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</si>
  <si>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</si>
  <si>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</si>
  <si>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</si>
  <si>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</si>
  <si>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</si>
  <si>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</si>
  <si>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</si>
  <si>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</si>
  <si>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</si>
  <si>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</si>
  <si>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</si>
  <si>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</si>
  <si>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</si>
  <si>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</si>
  <si>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</si>
  <si>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</si>
  <si>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</si>
  <si>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</si>
  <si>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</si>
  <si>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</si>
  <si>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</si>
  <si>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</si>
  <si>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</si>
  <si>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</si>
  <si>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</si>
  <si>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</si>
  <si>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</si>
  <si>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</si>
  <si>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</si>
  <si>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</si>
  <si>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</si>
  <si>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</si>
  <si>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</si>
  <si>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</si>
  <si>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</si>
  <si>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</si>
  <si>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</si>
  <si>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</si>
  <si>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</si>
  <si>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</si>
  <si>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</si>
  <si>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</si>
  <si>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</si>
  <si>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</si>
  <si>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</si>
  <si>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</si>
  <si>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</si>
  <si>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</si>
  <si>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</si>
  <si>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</si>
  <si>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</si>
  <si>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</si>
  <si>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</si>
  <si>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</si>
  <si>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</si>
  <si>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</si>
  <si>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</si>
  <si>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</si>
  <si>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</si>
  <si>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</si>
  <si>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</si>
  <si>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</si>
  <si>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</si>
  <si>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</si>
  <si>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</si>
  <si>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</si>
  <si>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</si>
  <si>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</si>
  <si>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</si>
  <si>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</si>
  <si>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</si>
  <si>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</si>
  <si>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</si>
  <si>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</si>
  <si>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</si>
  <si>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</si>
  <si>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</si>
  <si>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</si>
  <si>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</si>
  <si>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</si>
  <si>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</si>
  <si>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</si>
  <si>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</si>
  <si>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</si>
  <si>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</si>
  <si>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</si>
  <si>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</si>
  <si>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</si>
  <si>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</si>
  <si>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</si>
  <si>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</si>
  <si>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</si>
  <si>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</si>
  <si>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</si>
  <si>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</si>
  <si>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</si>
  <si>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</si>
  <si>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</si>
  <si>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</si>
  <si>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</si>
  <si>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</si>
  <si>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</si>
  <si>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</si>
  <si>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</si>
  <si>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</si>
  <si>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</si>
  <si>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</si>
  <si>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</si>
  <si>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</si>
  <si>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</si>
  <si>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</si>
  <si>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</si>
  <si>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</si>
  <si>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</si>
  <si>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</si>
  <si>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</si>
  <si>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</si>
  <si>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</si>
  <si>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</si>
  <si>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</si>
  <si>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</si>
  <si>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</si>
  <si>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</si>
  <si>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</si>
  <si>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</si>
  <si>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</si>
  <si>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</si>
  <si>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</si>
  <si>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</si>
  <si>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</si>
  <si>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</si>
  <si>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</si>
  <si>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</si>
  <si>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</si>
  <si>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</si>
  <si>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</si>
  <si>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</si>
  <si>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</si>
  <si>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</si>
  <si>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</si>
  <si>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</si>
  <si>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</si>
  <si>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</si>
  <si>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</si>
  <si>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</si>
  <si>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</si>
  <si>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</si>
  <si>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</si>
  <si>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</si>
  <si>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</si>
  <si>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</si>
  <si>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</si>
  <si>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</si>
  <si>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</si>
  <si>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</si>
  <si>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</si>
  <si>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</si>
  <si>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</si>
  <si>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</si>
  <si>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</si>
  <si>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</si>
  <si>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</si>
  <si>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</si>
  <si>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</si>
  <si>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</si>
  <si>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</si>
  <si>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</si>
  <si>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</si>
  <si>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</si>
  <si>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</si>
  <si>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</si>
  <si>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</si>
  <si>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</si>
  <si>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</si>
  <si>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</si>
  <si>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</si>
  <si>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</si>
  <si>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</si>
  <si>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</si>
  <si>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</si>
  <si>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</si>
  <si>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</si>
  <si>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</si>
  <si>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</si>
  <si>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</si>
  <si>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</si>
  <si>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</si>
  <si>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</si>
  <si>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</si>
  <si>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</si>
  <si>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</si>
  <si>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</si>
  <si>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</si>
  <si>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</si>
  <si>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</si>
  <si>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</si>
  <si>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</si>
  <si>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</si>
  <si>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</si>
  <si>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</si>
  <si>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</si>
  <si>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</si>
  <si>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</si>
  <si>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</si>
  <si>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</si>
  <si>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</si>
  <si>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</si>
  <si>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</si>
  <si>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</si>
  <si>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</si>
  <si>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</si>
  <si>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</si>
  <si>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</si>
  <si>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</si>
  <si>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</si>
  <si>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</si>
  <si>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</si>
  <si>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</si>
  <si>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</si>
  <si>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</si>
  <si>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</si>
  <si>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</si>
  <si>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</si>
  <si>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</si>
  <si>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</si>
  <si>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</si>
  <si>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</si>
  <si>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</si>
  <si>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</si>
  <si>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</si>
  <si>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</si>
  <si>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</si>
  <si>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</si>
  <si>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</si>
  <si>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</si>
  <si>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</si>
  <si>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</si>
  <si>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</si>
  <si>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</si>
  <si>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</si>
  <si>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</si>
  <si>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</si>
  <si>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</si>
  <si>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</si>
  <si>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</si>
  <si>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</si>
  <si>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</si>
  <si>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</si>
  <si>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</si>
  <si>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</si>
  <si>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</si>
  <si>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</si>
  <si>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</si>
  <si>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</si>
  <si>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</si>
  <si>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</si>
  <si>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</si>
  <si>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</si>
  <si>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</si>
  <si>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</si>
  <si>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</si>
  <si>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</si>
  <si>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</si>
  <si>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</si>
  <si>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</si>
  <si>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</si>
  <si>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</si>
  <si>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</si>
  <si>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</si>
  <si>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</si>
  <si>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</si>
  <si>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</si>
  <si>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</si>
  <si>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</si>
  <si>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</si>
  <si>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</si>
  <si>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</si>
  <si>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</si>
  <si>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</si>
  <si>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</si>
  <si>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</si>
  <si>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</si>
  <si>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</si>
  <si>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</si>
  <si>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</si>
  <si>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</si>
  <si>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</si>
  <si>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</si>
  <si>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</si>
  <si>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</si>
  <si>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</si>
  <si>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</si>
  <si>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</si>
  <si>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</si>
  <si>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</si>
  <si>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</si>
  <si>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</si>
  <si>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</si>
  <si>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</si>
  <si>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</si>
  <si>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</si>
  <si>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</si>
  <si>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</si>
  <si>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</si>
  <si>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</si>
  <si>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</si>
  <si>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</si>
  <si>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</si>
  <si>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</si>
  <si>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</si>
  <si>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</si>
  <si>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</si>
  <si>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</si>
  <si>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</si>
  <si>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</si>
  <si>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</si>
  <si>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</si>
  <si>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</si>
  <si>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</si>
  <si>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</si>
  <si>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</si>
  <si>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</si>
  <si>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</si>
  <si>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</si>
  <si>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</si>
  <si>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</si>
  <si>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</si>
  <si>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</si>
  <si>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</si>
  <si>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</si>
  <si>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</si>
  <si>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</si>
  <si>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</si>
  <si>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</si>
  <si>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</si>
  <si>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</si>
  <si>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</si>
  <si>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</si>
  <si>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</si>
  <si>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</si>
  <si>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</si>
  <si>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</si>
  <si>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</si>
  <si>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</si>
  <si>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</si>
  <si>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</si>
  <si>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</si>
  <si>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</si>
  <si>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</si>
  <si>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</si>
  <si>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</si>
  <si>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</si>
  <si>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</si>
  <si>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</si>
  <si>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</si>
  <si>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</si>
  <si>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</si>
  <si>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</si>
  <si>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</si>
  <si>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</si>
  <si>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</si>
  <si>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</si>
  <si>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</si>
  <si>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</si>
  <si>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</si>
  <si>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</si>
  <si>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</si>
  <si>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</si>
  <si>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</si>
  <si>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</si>
  <si>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</si>
  <si>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</si>
  <si>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</si>
  <si>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</si>
  <si>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</si>
  <si>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</si>
  <si>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</si>
  <si>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</si>
  <si>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</si>
  <si>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</si>
  <si>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</si>
  <si>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</si>
  <si>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</si>
  <si>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</si>
  <si>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</si>
  <si>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</si>
  <si>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</si>
  <si>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</si>
  <si>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</si>
  <si>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</si>
  <si>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</si>
  <si>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</si>
  <si>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</si>
  <si>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</si>
  <si>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</si>
  <si>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</si>
  <si>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</si>
  <si>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</si>
  <si>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</si>
  <si>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</si>
  <si>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</si>
  <si>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</si>
  <si>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</si>
  <si>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</si>
  <si>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</si>
  <si>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</si>
  <si>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</si>
  <si>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</si>
  <si>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</si>
  <si>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</si>
  <si>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</si>
  <si>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</si>
  <si>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</si>
  <si>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</si>
  <si>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</si>
  <si>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</si>
  <si>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</si>
  <si>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</si>
  <si>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</si>
  <si>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</si>
  <si>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</si>
  <si>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</si>
  <si>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</si>
  <si>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</si>
  <si>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</si>
  <si>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</si>
  <si>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</si>
  <si>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</si>
  <si>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</si>
  <si>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</si>
  <si>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</si>
  <si>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</si>
  <si>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</si>
  <si>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</si>
  <si>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</si>
  <si>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</si>
  <si>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</si>
  <si>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</si>
  <si>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</si>
  <si>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</si>
  <si>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</si>
  <si>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</si>
  <si>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</si>
  <si>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</si>
  <si>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</si>
  <si>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</si>
  <si>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</si>
  <si>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</si>
  <si>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</si>
  <si>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</si>
  <si>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</si>
  <si>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</si>
  <si>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</si>
  <si>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</si>
  <si>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</si>
  <si>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</si>
  <si>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</si>
  <si>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</si>
  <si>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</si>
  <si>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</si>
  <si>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</si>
  <si>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</si>
  <si>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</si>
  <si>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</si>
  <si>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</si>
  <si>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</si>
  <si>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</si>
  <si>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</si>
  <si>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</si>
  <si>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</si>
  <si>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</si>
  <si>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</si>
  <si>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</si>
  <si>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</si>
  <si>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</si>
  <si>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</si>
  <si>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</si>
  <si>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</si>
  <si>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</si>
  <si>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</si>
  <si>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</si>
  <si>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</si>
  <si>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</si>
  <si>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</si>
  <si>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</si>
  <si>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</si>
  <si>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</si>
  <si>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</si>
  <si>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</si>
  <si>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</si>
  <si>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</si>
  <si>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</si>
  <si>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</si>
  <si>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</si>
  <si>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</si>
  <si>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</si>
  <si>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</si>
  <si>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</si>
  <si>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</si>
  <si>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</si>
  <si>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</si>
  <si>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</si>
  <si>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</si>
  <si>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</si>
  <si>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</si>
  <si>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</si>
  <si>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</si>
  <si>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</si>
  <si>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</si>
  <si>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</si>
  <si>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</si>
  <si>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</si>
  <si>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</si>
  <si>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</si>
  <si>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</si>
  <si>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</si>
  <si>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</si>
  <si>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</si>
  <si>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</si>
  <si>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</si>
  <si>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</si>
  <si>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</si>
  <si>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</si>
  <si>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</si>
  <si>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</si>
  <si>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</si>
  <si>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</si>
  <si>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</si>
  <si>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</si>
  <si>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</si>
  <si>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</si>
  <si>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</si>
  <si>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</si>
  <si>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</si>
  <si>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</si>
  <si>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</si>
  <si>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</si>
  <si>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</si>
  <si>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</si>
  <si>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</si>
  <si>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</si>
  <si>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</si>
  <si>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</si>
  <si>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</si>
  <si>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</si>
  <si>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</si>
  <si>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</si>
  <si>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</si>
  <si>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</si>
  <si>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</si>
  <si>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</si>
  <si>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</si>
  <si>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</si>
  <si>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</si>
  <si>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</si>
  <si>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</si>
  <si>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</si>
  <si>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</si>
  <si>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</si>
  <si>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</si>
  <si>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</si>
  <si>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</si>
  <si>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</si>
  <si>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</si>
  <si>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</si>
  <si>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</si>
  <si>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</si>
  <si>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</si>
  <si>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</si>
  <si>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</si>
  <si>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</si>
  <si>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</si>
  <si>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</si>
  <si>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</si>
  <si>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</si>
  <si>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</si>
  <si>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</si>
  <si>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</si>
  <si>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</si>
  <si>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</si>
  <si>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</si>
  <si>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</si>
  <si>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</si>
  <si>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</si>
  <si>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</si>
  <si>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</si>
  <si>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</si>
  <si>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</si>
  <si>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</si>
  <si>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</si>
  <si>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</si>
  <si>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</si>
  <si>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</si>
  <si>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</si>
  <si>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</si>
  <si>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</si>
  <si>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</si>
  <si>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</si>
  <si>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</si>
  <si>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</si>
  <si>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</si>
  <si>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</si>
  <si>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</si>
  <si>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</si>
  <si>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</si>
  <si>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</si>
  <si>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</si>
  <si>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</si>
  <si>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</si>
  <si>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</si>
  <si>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</si>
  <si>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</si>
  <si>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</si>
  <si>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</si>
  <si>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</si>
  <si>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</si>
  <si>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</si>
  <si>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</si>
  <si>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</si>
  <si>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</si>
  <si>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</si>
  <si>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</si>
  <si>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</si>
  <si>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</si>
  <si>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</si>
  <si>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</si>
  <si>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</si>
  <si>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</si>
  <si>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</si>
  <si>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</si>
  <si>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</si>
  <si>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</si>
  <si>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</si>
  <si>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</si>
  <si>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</si>
  <si>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</si>
  <si>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</si>
  <si>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</si>
  <si>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</si>
  <si>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</si>
  <si>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</si>
  <si>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</si>
  <si>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</si>
  <si>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</si>
  <si>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</si>
  <si>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</si>
  <si>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</si>
  <si>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</si>
  <si>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</si>
  <si>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</si>
  <si>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</si>
  <si>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</si>
  <si>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</si>
  <si>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</si>
  <si>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</si>
  <si>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</si>
  <si>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</si>
  <si>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</si>
  <si>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</si>
  <si>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</si>
  <si>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</si>
  <si>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</si>
  <si>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</si>
  <si>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</si>
  <si>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</si>
  <si>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</si>
  <si>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</si>
  <si>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</si>
  <si>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</si>
  <si>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</si>
  <si>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</si>
  <si>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</si>
  <si>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</si>
  <si>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</si>
  <si>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</si>
  <si>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</si>
  <si>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</si>
  <si>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</si>
  <si>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</si>
  <si>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</si>
  <si>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</si>
  <si>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</si>
  <si>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</si>
  <si>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</si>
  <si>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</si>
  <si>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</si>
  <si>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</si>
  <si>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</si>
  <si>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</si>
  <si>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</si>
  <si>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</si>
  <si>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</si>
  <si>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</si>
  <si>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</si>
  <si>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</si>
  <si>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</si>
  <si>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</si>
  <si>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</si>
  <si>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</si>
  <si>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</si>
  <si>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</si>
  <si>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</si>
  <si>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</si>
  <si>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</si>
  <si>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</si>
  <si>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</si>
  <si>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</si>
  <si>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</si>
  <si>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</si>
  <si>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</si>
  <si>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</si>
  <si>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</si>
  <si>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</si>
  <si>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</si>
  <si>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</si>
  <si>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</si>
  <si>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</si>
  <si>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</si>
  <si>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</si>
  <si>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</si>
  <si>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</si>
  <si>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</si>
  <si>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</si>
  <si>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</si>
  <si>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</si>
  <si>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</si>
  <si>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</si>
  <si>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</si>
  <si>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</si>
  <si>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</si>
  <si>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</si>
  <si>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</si>
  <si>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</si>
  <si>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</si>
  <si>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</si>
  <si>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</si>
  <si>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</si>
  <si>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</si>
  <si>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</si>
  <si>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</si>
  <si>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</si>
  <si>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</si>
  <si>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</si>
  <si>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</si>
  <si>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</si>
  <si>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</si>
  <si>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</si>
  <si>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</si>
  <si>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</si>
  <si>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</si>
  <si>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</si>
  <si>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</si>
  <si>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</si>
  <si>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</si>
  <si>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</si>
  <si>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</si>
  <si>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</si>
  <si>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</si>
  <si>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</si>
  <si>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</si>
  <si>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</si>
  <si>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</si>
  <si>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</si>
  <si>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</si>
  <si>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</si>
  <si>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</si>
  <si>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</si>
  <si>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</si>
  <si>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</si>
  <si>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</si>
  <si>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</si>
  <si>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</si>
  <si>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</si>
  <si>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</si>
  <si>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</si>
  <si>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</si>
  <si>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</si>
  <si>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</si>
  <si>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</si>
  <si>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</si>
  <si>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</si>
  <si>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</si>
  <si>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</si>
  <si>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</si>
  <si>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</si>
  <si>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</si>
  <si>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</si>
  <si>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</si>
  <si>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</si>
  <si>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</si>
  <si>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</si>
  <si>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</si>
  <si>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</si>
  <si>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</si>
  <si>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</si>
  <si>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</si>
  <si>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</si>
  <si>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</si>
  <si>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</si>
  <si>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</si>
  <si>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</si>
  <si>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</si>
  <si>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</si>
  <si>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</si>
  <si>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</si>
  <si>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</si>
  <si>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</si>
  <si>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</si>
  <si>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</si>
  <si>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</si>
  <si>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</si>
  <si>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</si>
  <si>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</si>
  <si>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</si>
  <si>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</si>
  <si>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</si>
  <si>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</si>
  <si>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</si>
  <si>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</si>
  <si>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</si>
  <si>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</si>
  <si>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</si>
  <si>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</si>
  <si>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</si>
  <si>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</si>
  <si>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</si>
  <si>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</si>
  <si>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</si>
  <si>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</si>
  <si>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</si>
  <si>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</si>
  <si>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</si>
  <si>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</si>
  <si>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</si>
  <si>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</si>
  <si>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</si>
  <si>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</si>
  <si>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</si>
  <si>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</si>
  <si>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</si>
  <si>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</si>
  <si>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</si>
  <si>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</si>
  <si>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</si>
  <si>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</si>
  <si>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</si>
  <si>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</si>
  <si>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</si>
  <si>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</si>
  <si>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</si>
  <si>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</si>
  <si>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</si>
  <si>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</si>
  <si>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</si>
  <si>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</si>
  <si>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</si>
  <si>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</si>
  <si>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</si>
  <si>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</si>
  <si>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</si>
  <si>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</si>
  <si>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</si>
  <si>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</si>
  <si>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</si>
  <si>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</si>
  <si>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</si>
  <si>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</si>
  <si>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</si>
  <si>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</si>
  <si>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</si>
  <si>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</si>
  <si>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</si>
  <si>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</si>
  <si>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</si>
  <si>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</si>
  <si>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</si>
  <si>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</si>
  <si>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</si>
  <si>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</si>
  <si>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</si>
  <si>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</si>
  <si>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</si>
  <si>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</si>
  <si>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</si>
  <si>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</si>
  <si>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</si>
  <si>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</si>
  <si>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</si>
  <si>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</si>
  <si>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</si>
  <si>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</si>
  <si>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</si>
  <si>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</si>
  <si>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</si>
  <si>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</si>
  <si>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</si>
  <si>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</si>
  <si>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</si>
  <si>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</si>
  <si>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</si>
  <si>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</si>
  <si>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</si>
  <si>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</si>
  <si>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</si>
  <si>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</si>
  <si>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</si>
  <si>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</si>
  <si>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</si>
  <si>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</si>
  <si>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</si>
  <si>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</si>
  <si>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</si>
  <si>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</si>
  <si>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</si>
  <si>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</si>
  <si>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</si>
  <si>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</si>
  <si>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</si>
  <si>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</si>
  <si>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</si>
  <si>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</si>
  <si>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</si>
  <si>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</si>
  <si>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</si>
  <si>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</si>
  <si>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</si>
  <si>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</si>
  <si>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</si>
  <si>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</si>
  <si>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</si>
  <si>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</si>
  <si>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</si>
  <si>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</si>
  <si>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</si>
  <si>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</si>
  <si>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</si>
  <si>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</si>
  <si>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</si>
  <si>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</si>
  <si>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</si>
  <si>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</si>
  <si>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</si>
  <si>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</si>
  <si>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</si>
  <si>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</si>
  <si>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</si>
  <si>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</si>
  <si>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</si>
  <si>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</si>
  <si>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</si>
  <si>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</si>
  <si>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</si>
  <si>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</si>
  <si>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</si>
  <si>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</si>
  <si>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</si>
  <si>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</si>
  <si>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</si>
  <si>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</si>
  <si>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</si>
  <si>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</si>
  <si>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</si>
  <si>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</si>
  <si>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</si>
  <si>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</si>
  <si>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</si>
  <si>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</si>
  <si>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</si>
  <si>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</si>
  <si>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</si>
  <si>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</si>
  <si>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</si>
  <si>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</si>
  <si>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</si>
  <si>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</si>
  <si>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</si>
  <si>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</si>
  <si>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</si>
  <si>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</si>
  <si>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</si>
  <si>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</si>
  <si>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</si>
  <si>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</si>
  <si>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</si>
  <si>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</si>
  <si>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</si>
  <si>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</si>
  <si>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</si>
  <si>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</si>
  <si>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</si>
  <si>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</si>
  <si>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</si>
  <si>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</si>
  <si>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</si>
  <si>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</si>
  <si>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</si>
  <si>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</si>
  <si>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</si>
  <si>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</si>
  <si>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</si>
  <si>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</si>
  <si>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</si>
  <si>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</si>
  <si>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</si>
  <si>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</si>
  <si>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</si>
  <si>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</si>
  <si>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</si>
  <si>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</si>
  <si>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</si>
  <si>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</si>
  <si>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</si>
  <si>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</si>
  <si>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</si>
  <si>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</si>
  <si>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</si>
  <si>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</si>
  <si>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</si>
  <si>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</si>
  <si>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</si>
  <si>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</si>
  <si>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</si>
  <si>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</si>
  <si>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</si>
  <si>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</si>
  <si>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</si>
  <si>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</si>
  <si>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</si>
  <si>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</si>
  <si>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</si>
  <si>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</si>
  <si>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</si>
  <si>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</si>
  <si>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</si>
  <si>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</si>
  <si>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</si>
  <si>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</si>
  <si>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</si>
  <si>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</si>
  <si>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</si>
  <si>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</si>
  <si>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</si>
  <si>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</si>
  <si>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</si>
  <si>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</si>
  <si>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</si>
  <si>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</si>
  <si>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</si>
  <si>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</si>
  <si>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</si>
  <si>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</si>
  <si>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</si>
  <si>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</si>
  <si>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</si>
  <si>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</si>
  <si>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</si>
  <si>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</si>
  <si>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</si>
  <si>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</si>
  <si>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</si>
  <si>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</si>
  <si>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</si>
  <si>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</si>
  <si>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</si>
  <si>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</si>
  <si>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</si>
  <si>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</si>
  <si>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</si>
  <si>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</si>
  <si>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</si>
  <si>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</si>
  <si>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</si>
  <si>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</si>
  <si>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</si>
  <si>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</si>
  <si>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</si>
  <si>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</si>
  <si>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</si>
  <si>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</si>
  <si>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</si>
  <si>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</si>
  <si>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</si>
  <si>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</si>
  <si>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</si>
  <si>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</si>
  <si>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</si>
  <si>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</si>
  <si>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</si>
  <si>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</si>
  <si>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</si>
  <si>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</si>
  <si>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</si>
  <si>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</si>
  <si>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</si>
  <si>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</si>
  <si>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</si>
  <si>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</si>
  <si>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</si>
  <si>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</si>
  <si>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</si>
  <si>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</si>
  <si>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</si>
  <si>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</si>
  <si>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</si>
  <si>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</si>
  <si>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</si>
  <si>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</si>
  <si>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</si>
  <si>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</si>
  <si>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</si>
  <si>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</si>
  <si>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</si>
  <si>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</si>
  <si>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</si>
  <si>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</si>
  <si>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</si>
  <si>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</si>
  <si>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</si>
  <si>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</si>
  <si>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</si>
  <si>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</si>
  <si>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</si>
  <si>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</si>
  <si>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</si>
  <si>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</si>
  <si>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</si>
  <si>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</si>
  <si>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</si>
  <si>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</si>
  <si>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</si>
  <si>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</si>
  <si>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</si>
  <si>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</si>
  <si>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</si>
  <si>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</si>
  <si>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</si>
  <si>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</si>
  <si>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</si>
  <si>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</si>
  <si>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</si>
  <si>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</si>
  <si>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</si>
  <si>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</si>
  <si>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</si>
  <si>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</si>
  <si>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</si>
  <si>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</si>
  <si>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</si>
  <si>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</si>
  <si>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</si>
  <si>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</si>
  <si>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</si>
  <si>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</si>
  <si>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</si>
  <si>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</si>
  <si>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</si>
  <si>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</si>
  <si>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</si>
  <si>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</si>
  <si>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</si>
  <si>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</si>
  <si>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</si>
  <si>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</si>
  <si>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</si>
  <si>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</si>
  <si>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</si>
  <si>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</si>
  <si>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</si>
  <si>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</si>
  <si>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</si>
  <si>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</si>
  <si>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</si>
  <si>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</si>
  <si>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</si>
  <si>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</si>
  <si>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</si>
  <si>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</si>
  <si>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</si>
  <si>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</si>
  <si>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</si>
  <si>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</si>
  <si>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</si>
  <si>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</si>
  <si>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</si>
  <si>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</si>
  <si>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</si>
  <si>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</si>
  <si>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</si>
  <si>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</si>
  <si>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</si>
  <si>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</si>
  <si>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</si>
  <si>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</si>
  <si>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</si>
  <si>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</si>
  <si>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</si>
  <si>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</si>
  <si>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</si>
  <si>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</si>
  <si>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</si>
  <si>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</si>
  <si>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</si>
  <si>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</si>
  <si>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</si>
  <si>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</si>
  <si>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</si>
  <si>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</si>
  <si>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</si>
  <si>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</si>
  <si>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</si>
  <si>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</si>
  <si>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</si>
  <si>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</si>
  <si>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</si>
  <si>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</si>
  <si>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</si>
  <si>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</si>
  <si>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</si>
  <si>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</si>
  <si>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</si>
  <si>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</si>
  <si>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</si>
  <si>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</si>
  <si>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</si>
  <si>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</si>
  <si>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</si>
  <si>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</si>
  <si>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</si>
  <si>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</si>
  <si>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</si>
  <si>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</si>
  <si>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</si>
  <si>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</si>
  <si>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</si>
  <si>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</si>
  <si>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</si>
  <si>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</si>
  <si>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</si>
  <si>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</si>
  <si>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</si>
  <si>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</si>
  <si>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</si>
  <si>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</si>
  <si>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</si>
  <si>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</si>
  <si>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</si>
  <si>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</si>
  <si>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</si>
  <si>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</si>
  <si>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</si>
  <si>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</si>
  <si>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</si>
  <si>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</si>
  <si>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</si>
  <si>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</si>
  <si>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</si>
  <si>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</si>
  <si>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</si>
  <si>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</si>
  <si>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</si>
  <si>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</si>
  <si>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</si>
  <si>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</si>
  <si>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</si>
  <si>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</si>
  <si>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</si>
  <si>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</si>
  <si>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</si>
  <si>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</si>
  <si>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</si>
  <si>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</si>
  <si>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</si>
  <si>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</si>
  <si>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</si>
  <si>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</si>
  <si>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</si>
  <si>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</si>
  <si>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</si>
  <si>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</si>
  <si>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</si>
  <si>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</si>
  <si>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</si>
  <si>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</si>
  <si>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</si>
  <si>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</si>
  <si>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</si>
  <si>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</si>
  <si>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</si>
  <si>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</si>
  <si>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</si>
  <si>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</si>
  <si>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</si>
  <si>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</si>
  <si>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</si>
  <si>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</si>
  <si>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</si>
  <si>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</si>
  <si>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</si>
  <si>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</si>
  <si>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</si>
  <si>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</si>
  <si>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</si>
  <si>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</si>
  <si>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</si>
  <si>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</si>
  <si>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</si>
  <si>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</si>
  <si>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</si>
  <si>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</si>
  <si>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</si>
  <si>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</si>
  <si>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</si>
  <si>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</si>
  <si>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</si>
  <si>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</si>
  <si>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</si>
  <si>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</si>
  <si>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</si>
  <si>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</si>
  <si>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</si>
  <si>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</si>
  <si>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</si>
  <si>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</si>
  <si>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</si>
  <si>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</si>
  <si>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</si>
  <si>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</si>
  <si>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</si>
  <si>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</si>
  <si>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</si>
  <si>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</si>
  <si>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</si>
  <si>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</si>
  <si>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</si>
  <si>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</si>
  <si>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</si>
  <si>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</si>
  <si>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</si>
  <si>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</si>
  <si>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</si>
  <si>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</si>
  <si>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</si>
  <si>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</si>
  <si>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</si>
  <si>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</si>
  <si>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</si>
  <si>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</si>
  <si>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</si>
  <si>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</si>
  <si>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</si>
  <si>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</si>
  <si>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</si>
  <si>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</si>
  <si>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</si>
  <si>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</si>
  <si>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</si>
  <si>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</si>
  <si>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</si>
  <si>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</si>
  <si>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</si>
  <si>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</si>
  <si>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</si>
  <si>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</si>
  <si>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</si>
  <si>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</si>
  <si>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</si>
  <si>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</si>
  <si>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</si>
  <si>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</si>
  <si>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</si>
  <si>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</si>
  <si>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</si>
  <si>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</si>
  <si>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</si>
  <si>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</si>
  <si>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</si>
  <si>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</si>
  <si>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</si>
  <si>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</si>
  <si>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</si>
  <si>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</si>
  <si>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</si>
  <si>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</si>
  <si>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</si>
  <si>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</si>
  <si>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</si>
  <si>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</si>
  <si>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</si>
  <si>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</si>
  <si>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</si>
  <si>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</si>
  <si>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</si>
  <si>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</si>
  <si>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</si>
  <si>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</si>
  <si>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</si>
  <si>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</si>
  <si>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</si>
  <si>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</si>
  <si>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</si>
  <si>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</si>
  <si>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</si>
  <si>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</si>
  <si>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</si>
  <si>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</si>
  <si>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</si>
  <si>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</si>
  <si>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</si>
  <si>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</si>
  <si>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</si>
  <si>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</si>
  <si>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</si>
  <si>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</si>
  <si>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</si>
  <si>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</si>
  <si>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</si>
  <si>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</si>
  <si>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</si>
  <si>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</si>
  <si>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</si>
  <si>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</si>
  <si>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</si>
  <si>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</si>
  <si>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</si>
  <si>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</si>
  <si>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</si>
  <si>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</si>
  <si>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</si>
  <si>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</si>
  <si>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</si>
  <si>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</si>
  <si>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</si>
  <si>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</si>
  <si>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</si>
  <si>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</si>
  <si>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</si>
  <si>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</si>
  <si>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</si>
  <si>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</si>
  <si>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</si>
  <si>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</si>
  <si>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</si>
  <si>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</si>
  <si>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</si>
  <si>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</si>
  <si>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</si>
  <si>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</si>
  <si>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</si>
  <si>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</si>
  <si>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</si>
  <si>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</si>
  <si>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</si>
  <si>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</si>
  <si>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</si>
  <si>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</si>
  <si>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</si>
  <si>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</si>
  <si>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</si>
  <si>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</si>
  <si>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</si>
  <si>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</si>
  <si>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</si>
  <si>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</si>
  <si>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</si>
  <si>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</si>
  <si>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</si>
  <si>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</si>
  <si>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</si>
  <si>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</si>
  <si>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</si>
  <si>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</si>
  <si>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</si>
  <si>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</si>
  <si>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</si>
  <si>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</si>
  <si>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</si>
  <si>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</si>
  <si>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</si>
  <si>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</si>
  <si>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</si>
  <si>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</si>
  <si>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</si>
  <si>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</si>
  <si>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</si>
  <si>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</si>
  <si>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</si>
  <si>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</si>
  <si>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</si>
  <si>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</si>
  <si>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</si>
  <si>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</si>
  <si>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</si>
  <si>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</si>
  <si>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</si>
  <si>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</si>
  <si>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</si>
  <si>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</si>
  <si>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</si>
  <si>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</si>
  <si>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</si>
  <si>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</si>
  <si>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</si>
  <si>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</si>
  <si>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</si>
  <si>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</si>
  <si>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</si>
  <si>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</si>
  <si>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</si>
  <si>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</si>
  <si>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</si>
  <si>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</si>
  <si>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</si>
  <si>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</si>
  <si>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</si>
  <si>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</si>
  <si>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</si>
  <si>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</si>
  <si>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</si>
  <si>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</si>
  <si>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</si>
  <si>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</si>
  <si>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</si>
  <si>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</si>
  <si>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</si>
  <si>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</si>
  <si>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</si>
  <si>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</si>
  <si>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</si>
  <si>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</si>
  <si>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</si>
  <si>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</si>
  <si>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</si>
  <si>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</si>
  <si>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</si>
  <si>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</si>
  <si>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</si>
  <si>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</si>
  <si>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</si>
  <si>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</si>
  <si>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</si>
  <si>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</si>
  <si>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</si>
  <si>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</si>
  <si>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</si>
  <si>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</si>
  <si>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</si>
  <si>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</si>
  <si>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</si>
  <si>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</si>
  <si>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</si>
  <si>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</si>
  <si>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</si>
  <si>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</si>
  <si>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</si>
  <si>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</si>
  <si>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</si>
  <si>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</si>
  <si>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</si>
  <si>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</si>
  <si>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</si>
  <si>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</si>
  <si>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</si>
  <si>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</si>
  <si>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</si>
  <si>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</si>
  <si>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</si>
  <si>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</si>
  <si>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</si>
  <si>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</si>
  <si>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</si>
  <si>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</si>
  <si>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</si>
  <si>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</si>
  <si>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</si>
  <si>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</si>
  <si>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</si>
  <si>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</si>
  <si>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</si>
  <si>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</si>
  <si>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</si>
  <si>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</si>
  <si>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</si>
  <si>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</si>
  <si>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</si>
  <si>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</si>
  <si>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</si>
  <si>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</si>
  <si>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</si>
  <si>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</si>
  <si>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</si>
  <si>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</si>
  <si>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</si>
  <si>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</si>
  <si>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</si>
  <si>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</si>
  <si>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</si>
  <si>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</si>
  <si>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</si>
  <si>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</si>
  <si>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</si>
  <si>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</si>
  <si>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</si>
  <si>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</si>
  <si>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</si>
  <si>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</si>
  <si>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</si>
  <si>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</si>
  <si>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</si>
  <si>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</si>
  <si>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</si>
  <si>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</si>
  <si>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</si>
  <si>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</si>
  <si>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</si>
  <si>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</si>
  <si>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</si>
  <si>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</si>
  <si>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</si>
  <si>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</si>
  <si>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</si>
  <si>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</si>
  <si>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</si>
  <si>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</si>
  <si>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</si>
  <si>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</si>
  <si>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</si>
  <si>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</si>
  <si>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</si>
  <si>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</si>
  <si>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</si>
  <si>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</si>
  <si>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</si>
  <si>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</si>
  <si>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</si>
  <si>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</si>
  <si>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</si>
  <si>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</si>
  <si>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</si>
  <si>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</si>
  <si>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</si>
  <si>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</si>
  <si>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</si>
  <si>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</si>
  <si>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</si>
  <si>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</si>
  <si>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</si>
  <si>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</si>
  <si>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</si>
  <si>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</si>
  <si>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</si>
  <si>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</si>
  <si>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</si>
  <si>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</si>
  <si>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</si>
  <si>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</si>
  <si>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</si>
  <si>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</si>
  <si>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</si>
  <si>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</si>
  <si>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</si>
  <si>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</si>
  <si>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</si>
  <si>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</si>
  <si>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</si>
  <si>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</si>
  <si>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</si>
  <si>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</si>
  <si>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</si>
  <si>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</si>
  <si>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</si>
  <si>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</si>
  <si>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</si>
  <si>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</si>
  <si>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</si>
  <si>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</si>
  <si>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</si>
  <si>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</si>
  <si>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</si>
  <si>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</si>
  <si>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</si>
  <si>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</si>
  <si>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</si>
  <si>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</si>
  <si>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</si>
  <si>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</si>
  <si>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</si>
  <si>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</si>
  <si>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</si>
  <si>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</si>
  <si>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</si>
  <si>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</si>
  <si>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</si>
  <si>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</si>
  <si>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</si>
  <si>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</si>
  <si>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</si>
  <si>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</si>
  <si>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</si>
  <si>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</si>
  <si>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</si>
  <si>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</si>
  <si>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</si>
  <si>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</si>
  <si>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</si>
  <si>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</si>
  <si>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</si>
  <si>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</si>
  <si>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</si>
  <si>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</si>
  <si>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</si>
  <si>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</si>
  <si>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</si>
  <si>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</si>
  <si>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</si>
  <si>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</si>
  <si>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</si>
  <si>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</si>
  <si>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</si>
  <si>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</si>
  <si>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</si>
  <si>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</si>
  <si>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</si>
  <si>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</si>
  <si>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</si>
  <si>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</si>
  <si>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</si>
  <si>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</si>
  <si>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</si>
  <si>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</si>
  <si>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</si>
  <si>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</si>
  <si>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</si>
  <si>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</si>
  <si>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</si>
  <si>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</si>
  <si>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</si>
  <si>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</si>
  <si>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</si>
  <si>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</si>
  <si>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</si>
  <si>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</si>
  <si>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</si>
  <si>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</si>
  <si>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</si>
  <si>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</si>
  <si>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</si>
  <si>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</si>
  <si>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</si>
  <si>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</si>
  <si>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</si>
  <si>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</si>
  <si>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</si>
  <si>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</si>
  <si>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</si>
  <si>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</si>
  <si>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</si>
  <si>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</si>
  <si>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</si>
  <si>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</si>
  <si>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</si>
  <si>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</si>
  <si>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</si>
  <si>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</si>
  <si>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</si>
  <si>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</si>
  <si>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</si>
  <si>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</si>
  <si>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</si>
  <si>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</si>
  <si>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</si>
  <si>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</si>
  <si>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</si>
  <si>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</si>
  <si>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</si>
  <si>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</si>
  <si>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</si>
  <si>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</si>
  <si>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</si>
  <si>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</si>
  <si>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</si>
  <si>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</si>
  <si>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</si>
  <si>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</si>
  <si>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</si>
  <si>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</si>
  <si>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</si>
  <si>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</si>
  <si>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</si>
  <si>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</si>
  <si>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</si>
  <si>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</si>
  <si>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</si>
  <si>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</si>
  <si>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</si>
  <si>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</si>
  <si>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</si>
  <si>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</si>
  <si>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</si>
  <si>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</si>
  <si>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</si>
  <si>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</si>
  <si>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</si>
  <si>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</si>
  <si>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</si>
  <si>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</si>
  <si>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</si>
  <si>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</si>
  <si>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</si>
  <si>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</si>
  <si>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</si>
  <si>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</si>
  <si>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</si>
  <si>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</si>
  <si>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</si>
  <si>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</si>
  <si>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</si>
  <si>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</si>
  <si>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</si>
  <si>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</si>
  <si>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</si>
  <si>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</si>
  <si>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</si>
  <si>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</si>
  <si>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</si>
  <si>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</si>
  <si>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</si>
  <si>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</si>
  <si>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</si>
  <si>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</si>
  <si>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</si>
  <si>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</si>
  <si>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</si>
  <si>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</si>
  <si>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</si>
  <si>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</si>
  <si>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</si>
  <si>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</si>
  <si>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</si>
  <si>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</si>
  <si>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</si>
  <si>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</si>
  <si>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</si>
  <si>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</si>
  <si>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</si>
  <si>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</si>
  <si>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</si>
  <si>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</si>
  <si>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</si>
  <si>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</si>
  <si>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</si>
  <si>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</si>
  <si>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</si>
  <si>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</si>
  <si>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</si>
  <si>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</si>
  <si>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</si>
  <si>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</si>
  <si>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</si>
  <si>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</si>
  <si>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</si>
  <si>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</si>
  <si>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</si>
  <si>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</si>
  <si>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</si>
  <si>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</si>
  <si>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</si>
  <si>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</si>
  <si>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</si>
  <si>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</si>
  <si>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</si>
  <si>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</si>
  <si>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</si>
  <si>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</si>
  <si>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</si>
  <si>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</si>
  <si>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</si>
  <si>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</si>
  <si>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</si>
  <si>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</si>
  <si>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</si>
  <si>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</si>
  <si>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</si>
  <si>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</si>
  <si>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</si>
  <si>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</si>
  <si>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</si>
  <si>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</si>
  <si>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</si>
  <si>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</si>
  <si>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</si>
  <si>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</si>
  <si>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</si>
  <si>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</si>
  <si>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</si>
  <si>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</si>
  <si>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</si>
  <si>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</si>
  <si>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</si>
  <si>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</si>
  <si>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</si>
  <si>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</si>
  <si>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</si>
  <si>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</si>
  <si>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</si>
  <si>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</si>
  <si>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</si>
  <si>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</si>
  <si>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</si>
  <si>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</si>
  <si>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</si>
  <si>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</si>
  <si>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</si>
  <si>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</si>
  <si>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</si>
  <si>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</si>
  <si>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</si>
  <si>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</si>
  <si>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</si>
  <si>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</si>
  <si>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</si>
  <si>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</si>
  <si>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</si>
  <si>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</si>
  <si>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</si>
  <si>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</si>
  <si>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</si>
  <si>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</si>
  <si>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</si>
  <si>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</si>
  <si>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</si>
  <si>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</si>
  <si>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</si>
  <si>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</si>
  <si>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</si>
  <si>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</si>
  <si>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</si>
  <si>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</si>
  <si>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</si>
  <si>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</si>
  <si>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</si>
  <si>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</si>
  <si>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</si>
  <si>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</si>
  <si>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</si>
  <si>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</si>
  <si>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</si>
  <si>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</si>
  <si>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</si>
  <si>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</si>
  <si>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</si>
  <si>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</si>
  <si>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</si>
  <si>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</si>
  <si>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</si>
  <si>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</si>
  <si>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</si>
  <si>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</si>
  <si>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</si>
  <si>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</si>
  <si>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</si>
  <si>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</si>
  <si>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</si>
  <si>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</si>
  <si>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</si>
  <si>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</si>
  <si>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</si>
  <si>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</si>
  <si>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</si>
  <si>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</si>
  <si>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</si>
  <si>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</si>
  <si>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</si>
  <si>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</si>
  <si>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</si>
  <si>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</si>
  <si>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</si>
  <si>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</si>
  <si>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</si>
  <si>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</si>
  <si>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</si>
  <si>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</si>
  <si>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</si>
  <si>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</si>
  <si>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</si>
  <si>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</si>
  <si>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</si>
  <si>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</si>
  <si>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</si>
  <si>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</si>
  <si>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</si>
  <si>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</si>
  <si>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</si>
  <si>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</si>
  <si>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</si>
  <si>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</si>
  <si>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</si>
  <si>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</si>
  <si>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</si>
  <si>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</si>
  <si>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</si>
  <si>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</si>
  <si>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</si>
  <si>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</si>
  <si>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</si>
  <si>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</si>
  <si>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</si>
  <si>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</si>
  <si>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</si>
  <si>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</si>
  <si>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</si>
  <si>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</si>
  <si>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</si>
  <si>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</si>
  <si>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</si>
  <si>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</si>
  <si>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</si>
  <si>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</si>
  <si>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</si>
  <si>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</si>
  <si>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</si>
  <si>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</si>
  <si>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</si>
  <si>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</si>
  <si>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</si>
  <si>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</si>
  <si>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</si>
  <si>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</si>
  <si>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</si>
  <si>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</si>
  <si>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</si>
  <si>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</si>
  <si>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</si>
  <si>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</si>
  <si>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</si>
  <si>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</si>
  <si>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</si>
  <si>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</si>
  <si>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</si>
  <si>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</si>
  <si>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</si>
  <si>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</si>
  <si>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</si>
  <si>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</si>
  <si>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</si>
  <si>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</si>
  <si>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</si>
  <si>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</si>
  <si>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</si>
  <si>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</si>
  <si>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</si>
  <si>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</si>
  <si>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</si>
  <si>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</si>
  <si>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</si>
  <si>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</si>
  <si>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</si>
  <si>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</si>
  <si>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</si>
  <si>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</si>
  <si>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</si>
  <si>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</si>
  <si>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</si>
  <si>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</si>
  <si>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</si>
  <si>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</si>
  <si>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</si>
  <si>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</si>
  <si>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</si>
  <si>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</si>
  <si>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</si>
  <si>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</si>
  <si>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</si>
  <si>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</si>
  <si>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</si>
  <si>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</si>
  <si>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</si>
  <si>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</si>
  <si>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</si>
  <si>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</si>
  <si>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</si>
  <si>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</si>
  <si>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</si>
  <si>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</si>
  <si>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</si>
  <si>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</si>
  <si>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</si>
  <si>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</si>
  <si>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</si>
  <si>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</si>
  <si>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</si>
  <si>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</si>
  <si>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</si>
  <si>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</si>
  <si>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</si>
  <si>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</si>
  <si>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</si>
  <si>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</si>
  <si>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</si>
  <si>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</si>
  <si>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</si>
  <si>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</si>
  <si>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</si>
  <si>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</si>
  <si>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</si>
  <si>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</si>
  <si>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</si>
  <si>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</si>
  <si>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</si>
  <si>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</si>
  <si>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</si>
  <si>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</si>
  <si>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</si>
  <si>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</si>
  <si>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</si>
  <si>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</si>
  <si>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</si>
  <si>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</si>
  <si>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</si>
  <si>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</si>
  <si>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</si>
  <si>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</si>
  <si>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</si>
  <si>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</si>
  <si>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</si>
  <si>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</si>
  <si>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</si>
  <si>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</si>
  <si>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</si>
  <si>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</si>
  <si>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</si>
  <si>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</si>
  <si>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</si>
  <si>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</si>
  <si>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</si>
  <si>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</si>
  <si>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</si>
  <si>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</si>
  <si>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</si>
  <si>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</si>
  <si>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</si>
  <si>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</si>
  <si>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</si>
  <si>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</si>
  <si>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</si>
  <si>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</si>
  <si>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</si>
  <si>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</si>
  <si>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</si>
  <si>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</si>
  <si>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</si>
  <si>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</si>
  <si>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</si>
  <si>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</si>
  <si>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</si>
  <si>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</si>
  <si>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</si>
  <si>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</si>
  <si>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</si>
  <si>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</si>
  <si>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</si>
  <si>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</si>
  <si>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</si>
  <si>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</si>
  <si>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</si>
  <si>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</si>
  <si>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</si>
  <si>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</si>
  <si>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</si>
  <si>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</si>
  <si>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</si>
  <si>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</si>
  <si>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</si>
  <si>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</si>
  <si>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</si>
  <si>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</si>
  <si>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</si>
  <si>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</si>
  <si>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</si>
  <si>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</si>
  <si>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</si>
  <si>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</si>
  <si>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</si>
  <si>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</si>
  <si>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</si>
  <si>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</si>
  <si>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</si>
  <si>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</si>
  <si>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</si>
  <si>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</si>
  <si>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</si>
  <si>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</si>
  <si>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</si>
  <si>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</si>
  <si>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</si>
  <si>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</si>
  <si>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</si>
  <si>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</si>
  <si>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</si>
  <si>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</si>
  <si>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</si>
  <si>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</si>
  <si>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</si>
  <si>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</si>
  <si>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</si>
  <si>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</si>
  <si>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</si>
  <si>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</si>
  <si>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</si>
  <si>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</si>
  <si>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</si>
  <si>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</si>
  <si>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</si>
  <si>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</si>
  <si>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</si>
  <si>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</si>
  <si>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</si>
  <si>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</si>
  <si>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</si>
  <si>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</si>
  <si>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</si>
  <si>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</si>
  <si>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</si>
  <si>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</si>
  <si>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</si>
  <si>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</si>
  <si>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</si>
  <si>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</si>
  <si>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</si>
  <si>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</si>
  <si>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</si>
  <si>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</si>
  <si>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</si>
  <si>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</si>
  <si>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</si>
  <si>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</si>
  <si>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</si>
  <si>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</si>
  <si>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</si>
  <si>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</si>
  <si>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</si>
  <si>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</si>
  <si>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</si>
  <si>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</si>
  <si>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</si>
  <si>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</si>
  <si>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</si>
  <si>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</si>
  <si>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</si>
  <si>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</si>
  <si>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</si>
  <si>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</si>
  <si>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</si>
  <si>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</si>
  <si>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</si>
  <si>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</si>
  <si>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</si>
  <si>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</si>
  <si>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</si>
  <si>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</si>
  <si>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</si>
  <si>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</si>
  <si>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</si>
  <si>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</si>
  <si>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</si>
  <si>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</si>
  <si>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</si>
  <si>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</si>
  <si>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</si>
  <si>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</si>
  <si>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</si>
  <si>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</si>
  <si>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</si>
  <si>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</si>
  <si>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</si>
  <si>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</si>
  <si>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</si>
  <si>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</si>
  <si>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</si>
  <si>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</si>
  <si>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</si>
  <si>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</si>
  <si>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</si>
  <si>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</si>
  <si>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</si>
  <si>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</si>
  <si>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</si>
  <si>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</si>
  <si>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</si>
  <si>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</si>
  <si>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</si>
  <si>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</si>
  <si>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</si>
  <si>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</si>
  <si>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</si>
  <si>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</si>
  <si>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</si>
  <si>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</si>
  <si>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</si>
  <si>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</si>
  <si>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</si>
  <si>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</si>
  <si>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</si>
  <si>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</si>
  <si>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</si>
  <si>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</si>
  <si>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</si>
  <si>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</si>
  <si>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</si>
  <si>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</si>
  <si>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</si>
  <si>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</si>
  <si>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</si>
  <si>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</si>
  <si>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</si>
  <si>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</si>
  <si>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</si>
  <si>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</si>
  <si>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</si>
  <si>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</si>
  <si>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</si>
  <si>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</si>
  <si>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</si>
  <si>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</si>
  <si>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</si>
  <si>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</si>
  <si>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</si>
  <si>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</si>
  <si>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</si>
  <si>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</si>
  <si>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</si>
  <si>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</si>
  <si>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</si>
  <si>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</si>
  <si>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</si>
  <si>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</si>
  <si>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</si>
  <si>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</si>
  <si>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</si>
  <si>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</si>
  <si>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</si>
  <si>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</si>
  <si>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</si>
  <si>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</si>
  <si>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</si>
  <si>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</si>
  <si>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</si>
  <si>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</si>
  <si>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</si>
  <si>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</si>
  <si>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</si>
  <si>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</si>
  <si>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</si>
  <si>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</si>
  <si>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</si>
  <si>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</si>
  <si>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</si>
  <si>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</si>
  <si>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</si>
  <si>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</si>
  <si>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</si>
  <si>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</si>
  <si>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</si>
  <si>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</si>
  <si>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</si>
  <si>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</si>
  <si>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</si>
  <si>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</si>
  <si>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</si>
  <si>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</si>
  <si>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</si>
  <si>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</si>
  <si>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</si>
  <si>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</si>
  <si>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</si>
  <si>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</si>
  <si>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</si>
  <si>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</si>
  <si>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</si>
  <si>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</si>
  <si>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</si>
  <si>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</si>
  <si>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</si>
  <si>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</si>
  <si>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</si>
  <si>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</si>
  <si>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</si>
  <si>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</si>
  <si>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</si>
  <si>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</si>
  <si>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</si>
  <si>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</si>
  <si>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</si>
  <si>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</si>
  <si>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</si>
  <si>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</si>
  <si>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</si>
  <si>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</si>
  <si>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</si>
  <si>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</si>
  <si>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</si>
  <si>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</si>
  <si>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</si>
  <si>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</si>
  <si>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</si>
  <si>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</si>
  <si>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</si>
  <si>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</si>
  <si>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</si>
  <si>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</si>
  <si>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</si>
  <si>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</si>
  <si>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</si>
  <si>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</si>
  <si>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</si>
  <si>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</si>
  <si>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</si>
  <si>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</si>
  <si>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</si>
  <si>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</si>
  <si>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</si>
  <si>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</si>
  <si>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</si>
  <si>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</si>
  <si>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</si>
  <si>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</si>
  <si>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</si>
  <si>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</si>
  <si>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</si>
  <si>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</si>
  <si>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</si>
  <si>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</si>
  <si>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</si>
  <si>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</si>
  <si>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</si>
  <si>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</si>
  <si>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</si>
  <si>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</si>
  <si>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</si>
  <si>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</si>
  <si>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</si>
  <si>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</si>
  <si>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</si>
  <si>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</si>
  <si>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</si>
  <si>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</si>
  <si>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</si>
  <si>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</si>
  <si>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</si>
  <si>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</si>
  <si>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</si>
  <si>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</si>
  <si>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</si>
  <si>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</si>
  <si>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</si>
  <si>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</si>
  <si>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</si>
  <si>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</si>
  <si>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</si>
  <si>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</si>
  <si>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</si>
  <si>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</si>
  <si>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</si>
  <si>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</si>
  <si>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</si>
  <si>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</si>
  <si>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</si>
  <si>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</si>
  <si>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</si>
  <si>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</si>
  <si>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</si>
  <si>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</si>
  <si>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</si>
  <si>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</si>
  <si>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</si>
  <si>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</si>
  <si>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</si>
  <si>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</si>
  <si>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</si>
  <si>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</si>
  <si>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</si>
  <si>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</si>
  <si>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</si>
  <si>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</si>
  <si>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</si>
  <si>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</si>
  <si>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</si>
  <si>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</si>
  <si>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</si>
  <si>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</si>
  <si>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</si>
  <si>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</si>
  <si>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</si>
  <si>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</si>
  <si>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</si>
  <si>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</si>
  <si>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</si>
  <si>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</si>
  <si>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</si>
  <si>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</si>
  <si>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</si>
  <si>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</si>
  <si>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</si>
  <si>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</si>
  <si>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</si>
  <si>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</si>
  <si>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</si>
  <si>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</si>
  <si>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</si>
  <si>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</si>
  <si>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</si>
  <si>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</si>
  <si>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</si>
  <si>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</si>
  <si>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</si>
  <si>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</si>
  <si>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</si>
  <si>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</si>
  <si>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</si>
  <si>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</si>
  <si>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</si>
  <si>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</si>
  <si>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</si>
  <si>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</si>
  <si>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</si>
  <si>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</si>
  <si>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</si>
  <si>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</si>
  <si>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</si>
  <si>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</si>
  <si>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</si>
  <si>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</si>
  <si>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</si>
  <si>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</si>
  <si>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</si>
  <si>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</si>
  <si>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</si>
  <si>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</si>
  <si>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</si>
  <si>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</si>
  <si>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</si>
  <si>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</si>
  <si>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</si>
  <si>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</si>
  <si>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</si>
  <si>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</si>
  <si>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</si>
  <si>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</si>
  <si>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</si>
  <si>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</si>
  <si>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</si>
  <si>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</si>
  <si>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</si>
  <si>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</si>
  <si>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</si>
  <si>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</si>
  <si>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</si>
  <si>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</si>
  <si>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</si>
  <si>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</si>
  <si>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</si>
  <si>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</si>
  <si>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</si>
  <si>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</si>
  <si>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</si>
  <si>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</si>
  <si>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</si>
  <si>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</si>
  <si>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</si>
  <si>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</si>
  <si>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</si>
  <si>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</si>
  <si>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</si>
  <si>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</si>
  <si>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</si>
  <si>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</si>
  <si>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</si>
  <si>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</si>
  <si>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</si>
  <si>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</si>
  <si>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</si>
  <si>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</si>
  <si>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</si>
  <si>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</si>
  <si>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</si>
  <si>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</si>
  <si>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</si>
  <si>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</si>
  <si>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</si>
  <si>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</si>
  <si>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</si>
  <si>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</si>
  <si>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</si>
  <si>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</si>
  <si>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</si>
  <si>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</si>
  <si>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</si>
  <si>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</si>
  <si>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</si>
  <si>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</si>
  <si>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</si>
  <si>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</si>
  <si>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</si>
  <si>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</si>
  <si>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</si>
  <si>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</si>
  <si>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</si>
  <si>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</si>
  <si>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</si>
  <si>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</si>
  <si>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</si>
  <si>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</si>
  <si>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</si>
  <si>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</si>
  <si>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</si>
  <si>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</si>
  <si>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</si>
  <si>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</si>
  <si>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</si>
  <si>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</si>
  <si>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</si>
  <si>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</si>
  <si>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</si>
  <si>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</si>
  <si>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</si>
  <si>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</si>
  <si>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</si>
  <si>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</si>
  <si>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</si>
  <si>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</si>
  <si>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</si>
  <si>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</si>
  <si>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</si>
  <si>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</si>
  <si>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</si>
  <si>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</si>
  <si>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</si>
  <si>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</si>
  <si>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</si>
  <si>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</si>
  <si>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</si>
  <si>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</si>
  <si>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</si>
  <si>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</si>
  <si>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</si>
  <si>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</si>
  <si>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</si>
  <si>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</si>
  <si>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</si>
  <si>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</si>
  <si>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</si>
  <si>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</si>
  <si>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</si>
  <si>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</si>
  <si>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</si>
  <si>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</si>
  <si>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</si>
  <si>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</si>
  <si>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</si>
  <si>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</si>
  <si>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</si>
  <si>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</si>
  <si>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</si>
  <si>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</si>
  <si>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</si>
  <si>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</si>
  <si>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</si>
  <si>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</si>
  <si>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</si>
  <si>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</si>
  <si>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</si>
  <si>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</si>
  <si>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</si>
  <si>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</si>
  <si>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</si>
  <si>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</si>
  <si>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</si>
  <si>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</si>
  <si>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</si>
  <si>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</si>
  <si>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</si>
  <si>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</si>
  <si>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</si>
  <si>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</si>
  <si>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</si>
  <si>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</si>
  <si>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</si>
  <si>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</si>
  <si>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</si>
  <si>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</si>
  <si>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</si>
  <si>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</si>
  <si>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</si>
  <si>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</si>
  <si>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</si>
  <si>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</si>
  <si>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</si>
  <si>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</si>
  <si>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</si>
  <si>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</si>
  <si>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</si>
  <si>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</si>
  <si>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</si>
  <si>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</si>
  <si>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</si>
  <si>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</si>
  <si>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</si>
  <si>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</si>
  <si>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</si>
  <si>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</si>
  <si>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</si>
  <si>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</si>
  <si>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</si>
  <si>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</si>
  <si>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</si>
  <si>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</si>
  <si>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</si>
  <si>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</si>
  <si>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</si>
  <si>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</si>
  <si>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</si>
  <si>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</si>
  <si>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</si>
  <si>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</si>
  <si>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</si>
  <si>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</si>
  <si>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</si>
  <si>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</si>
  <si>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</si>
  <si>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</si>
  <si>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</si>
  <si>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</si>
  <si>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</si>
  <si>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</si>
  <si>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</si>
  <si>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</si>
  <si>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</si>
  <si>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</si>
  <si>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</si>
  <si>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</si>
  <si>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</si>
  <si>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</si>
  <si>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</si>
  <si>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</si>
  <si>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</si>
  <si>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</si>
  <si>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</si>
  <si>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</si>
  <si>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</si>
  <si>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</si>
  <si>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</si>
  <si>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</si>
  <si>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</si>
  <si>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</si>
  <si>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</si>
  <si>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</si>
  <si>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</si>
  <si>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</si>
  <si>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</si>
  <si>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</si>
  <si>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</si>
  <si>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</si>
  <si>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</si>
  <si>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</si>
  <si>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</si>
  <si>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</si>
  <si>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</si>
  <si>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</si>
  <si>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</si>
  <si>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</si>
  <si>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</si>
  <si>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</si>
  <si>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</si>
  <si>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</si>
  <si>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</si>
  <si>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</si>
  <si>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</si>
  <si>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</si>
  <si>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</si>
  <si>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</si>
  <si>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</si>
  <si>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</si>
  <si>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</si>
  <si>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</si>
  <si>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</si>
  <si>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</si>
  <si>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</si>
  <si>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</si>
  <si>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</si>
  <si>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</si>
  <si>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</si>
  <si>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</si>
  <si>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</si>
  <si>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</si>
  <si>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</si>
  <si>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</si>
  <si>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</si>
  <si>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</si>
  <si>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</si>
  <si>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</si>
  <si>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</si>
  <si>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</si>
  <si>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</si>
  <si>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</si>
  <si>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</si>
  <si>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</si>
  <si>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</si>
  <si>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</si>
  <si>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</si>
  <si>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</si>
  <si>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</si>
  <si>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</si>
  <si>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</si>
  <si>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</si>
  <si>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</si>
  <si>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</si>
  <si>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</si>
  <si>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</si>
  <si>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</si>
  <si>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</si>
  <si>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</si>
  <si>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</si>
  <si>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</si>
  <si>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</si>
  <si>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</si>
  <si>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</si>
  <si>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</si>
  <si>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</si>
  <si>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</si>
  <si>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</si>
  <si>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</si>
  <si>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</si>
  <si>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</si>
  <si>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</si>
  <si>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</si>
  <si>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</si>
  <si>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</si>
  <si>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</si>
  <si>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</si>
  <si>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</si>
  <si>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</si>
  <si>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</si>
  <si>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</si>
  <si>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</si>
  <si>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</si>
  <si>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</si>
  <si>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</si>
  <si>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</si>
  <si>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</si>
  <si>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</si>
  <si>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</si>
  <si>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</si>
  <si>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</si>
  <si>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</si>
  <si>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</si>
  <si>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</si>
  <si>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</si>
  <si>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</si>
  <si>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</si>
  <si>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</si>
  <si>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</si>
  <si>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</si>
  <si>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</si>
  <si>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</si>
  <si>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</si>
  <si>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</si>
  <si>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</si>
  <si>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</si>
  <si>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</si>
  <si>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</si>
  <si>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</si>
  <si>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</si>
  <si>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</si>
  <si>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</si>
  <si>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</si>
  <si>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</si>
  <si>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</si>
  <si>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</si>
  <si>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</si>
  <si>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</si>
  <si>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</si>
  <si>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</si>
  <si>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</si>
  <si>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</si>
  <si>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</si>
  <si>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</si>
  <si>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</si>
  <si>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</si>
  <si>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</si>
  <si>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</si>
  <si>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</si>
  <si>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</si>
  <si>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</si>
  <si>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</si>
  <si>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</si>
  <si>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</si>
  <si>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</si>
  <si>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</si>
  <si>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</si>
  <si>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</si>
  <si>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</si>
  <si>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</si>
  <si>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</si>
  <si>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</si>
  <si>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</si>
  <si>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</si>
  <si>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</si>
  <si>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</si>
  <si>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</si>
  <si>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</si>
  <si>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</si>
  <si>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</si>
  <si>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</si>
  <si>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</si>
  <si>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</si>
  <si>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</si>
  <si>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</si>
  <si>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</si>
  <si>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</si>
  <si>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</si>
  <si>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</si>
  <si>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</si>
  <si>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</si>
  <si>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</si>
  <si>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</si>
  <si>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</si>
  <si>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</si>
  <si>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</si>
  <si>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</si>
  <si>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</si>
  <si>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</si>
  <si>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</si>
  <si>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</si>
  <si>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</si>
  <si>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</si>
  <si>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</si>
  <si>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</si>
  <si>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</si>
  <si>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</si>
  <si>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</si>
  <si>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</si>
  <si>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</si>
  <si>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</si>
  <si>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</si>
  <si>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</si>
  <si>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</si>
  <si>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</si>
  <si>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</si>
  <si>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</si>
  <si>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</si>
  <si>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</si>
  <si>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</si>
  <si>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</si>
  <si>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</si>
  <si>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</si>
  <si>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</si>
  <si>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</si>
  <si>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</si>
  <si>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</si>
  <si>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</si>
  <si>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</si>
  <si>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</si>
  <si>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</si>
  <si>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</si>
  <si>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</si>
  <si>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</si>
  <si>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</si>
  <si>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</si>
  <si>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</si>
  <si>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</si>
  <si>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</si>
  <si>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</si>
  <si>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</si>
  <si>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</si>
  <si>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</si>
  <si>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</si>
  <si>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</si>
  <si>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</si>
  <si>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</si>
  <si>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</si>
  <si>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</si>
  <si>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</si>
  <si>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</si>
  <si>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</si>
  <si>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</si>
  <si>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</si>
  <si>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</si>
  <si>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</si>
  <si>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</si>
  <si>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</si>
  <si>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</si>
  <si>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</si>
  <si>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</si>
  <si>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</si>
  <si>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</si>
  <si>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</si>
  <si>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</si>
  <si>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</si>
  <si>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</si>
  <si>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</si>
  <si>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</si>
  <si>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</si>
  <si>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</si>
  <si>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</si>
  <si>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</si>
  <si>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</si>
  <si>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</si>
  <si>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</si>
  <si>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</si>
  <si>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</si>
  <si>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</si>
  <si>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</si>
  <si>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</si>
  <si>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</si>
  <si>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</si>
  <si>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</si>
  <si>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</si>
  <si>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</si>
  <si>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</si>
  <si>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</si>
  <si>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</si>
  <si>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</si>
  <si>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</si>
  <si>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</si>
  <si>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</si>
  <si>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</si>
  <si>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</si>
  <si>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</si>
  <si>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</si>
  <si>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</si>
  <si>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</si>
  <si>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</si>
  <si>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</si>
  <si>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</si>
  <si>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</si>
  <si>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</si>
  <si>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</si>
  <si>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</si>
  <si>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</si>
  <si>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</si>
  <si>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</si>
  <si>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</si>
  <si>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</si>
  <si>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</si>
  <si>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</si>
  <si>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</si>
  <si>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</si>
  <si>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</si>
  <si>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</si>
  <si>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</si>
  <si>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</si>
  <si>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</si>
  <si>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</si>
  <si>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</si>
  <si>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</si>
  <si>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</si>
  <si>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</si>
  <si>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</si>
  <si>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</si>
  <si>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</si>
  <si>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</si>
  <si>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</si>
  <si>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</si>
  <si>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</si>
  <si>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</si>
  <si>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</si>
  <si>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</si>
  <si>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</si>
  <si>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</si>
  <si>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</si>
  <si>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</si>
  <si>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</si>
  <si>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</si>
  <si>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</si>
  <si>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</si>
  <si>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</si>
  <si>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</si>
  <si>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</si>
  <si>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</si>
  <si>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</si>
  <si>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</si>
  <si>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</si>
  <si>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</si>
  <si>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</si>
  <si>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</si>
  <si>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</si>
  <si>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</si>
  <si>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</si>
  <si>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</si>
  <si>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</si>
  <si>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</si>
  <si>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</si>
  <si>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</si>
  <si>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</si>
  <si>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</si>
  <si>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</si>
  <si>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</si>
  <si>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</si>
  <si>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</si>
  <si>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</si>
  <si>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</si>
  <si>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</si>
  <si>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</si>
  <si>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</si>
  <si>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</si>
  <si>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</si>
  <si>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</si>
  <si>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</si>
  <si>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</si>
  <si>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</si>
  <si>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</si>
  <si>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</si>
  <si>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</si>
  <si>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</si>
  <si>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</si>
  <si>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</si>
  <si>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</si>
  <si>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</si>
  <si>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</si>
  <si>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</si>
  <si>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</si>
  <si>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</si>
  <si>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</si>
  <si>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</si>
  <si>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</si>
  <si>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</si>
  <si>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</si>
  <si>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</si>
  <si>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</si>
  <si>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</si>
  <si>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</si>
  <si>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</si>
  <si>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</si>
  <si>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</si>
  <si>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</si>
  <si>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</si>
  <si>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</si>
  <si>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</si>
  <si>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</si>
  <si>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</si>
  <si>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</si>
  <si>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</si>
  <si>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</si>
  <si>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</si>
  <si>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</si>
  <si>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</si>
  <si>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</si>
  <si>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</si>
  <si>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</si>
  <si>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</si>
  <si>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</si>
  <si>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</si>
  <si>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</si>
  <si>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</si>
  <si>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</si>
  <si>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</si>
  <si>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</si>
  <si>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</si>
  <si>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</si>
  <si>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</si>
  <si>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</si>
  <si>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</si>
  <si>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</si>
  <si>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</si>
  <si>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</si>
  <si>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</si>
  <si>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</si>
  <si>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</si>
  <si>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</si>
  <si>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</si>
  <si>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</si>
  <si>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</si>
  <si>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</si>
  <si>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</si>
  <si>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</si>
  <si>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</si>
  <si>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</si>
  <si>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</si>
  <si>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</si>
  <si>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</si>
  <si>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</si>
  <si>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</si>
  <si>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</si>
  <si>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</si>
  <si>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</si>
  <si>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</si>
  <si>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</si>
  <si>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</si>
  <si>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</si>
  <si>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</si>
  <si>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</si>
  <si>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</si>
  <si>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</si>
  <si>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</si>
  <si>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</si>
  <si>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</si>
  <si>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</si>
  <si>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</si>
  <si>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</si>
  <si>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</si>
  <si>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</si>
  <si>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</si>
  <si>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</si>
  <si>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</si>
  <si>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</si>
  <si>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</si>
  <si>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</si>
  <si>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</si>
  <si>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</si>
  <si>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</si>
  <si>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</si>
  <si>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</si>
  <si>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</si>
  <si>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</si>
  <si>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</si>
  <si>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</si>
  <si>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</si>
  <si>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</si>
  <si>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</si>
  <si>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</si>
  <si>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</si>
  <si>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</si>
  <si>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</si>
  <si>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</si>
  <si>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</si>
  <si>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</si>
  <si>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</si>
  <si>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</si>
  <si>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</si>
  <si>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</si>
  <si>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</si>
  <si>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</si>
  <si>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</si>
  <si>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</si>
  <si>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</si>
  <si>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</si>
  <si>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</si>
  <si>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</si>
  <si>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</si>
  <si>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</si>
  <si>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</si>
  <si>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</si>
  <si>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</si>
  <si>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</si>
  <si>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</si>
  <si>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</si>
  <si>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</si>
  <si>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</si>
  <si>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</si>
  <si>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</si>
  <si>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</si>
  <si>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</si>
  <si>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</si>
  <si>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</si>
  <si>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</si>
  <si>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</si>
  <si>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</si>
  <si>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</si>
  <si>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</si>
  <si>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</si>
  <si>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</si>
  <si>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</si>
  <si>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</si>
  <si>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</si>
  <si>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</si>
  <si>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</si>
  <si>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</si>
  <si>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</si>
  <si>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</si>
  <si>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</si>
  <si>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</si>
  <si>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</si>
  <si>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</si>
  <si>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</si>
  <si>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</si>
  <si>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</si>
  <si>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</si>
  <si>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</si>
  <si>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</si>
  <si>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</si>
  <si>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</si>
  <si>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</si>
  <si>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</si>
  <si>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</si>
  <si>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</si>
  <si>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</si>
  <si>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</si>
  <si>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</si>
  <si>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</si>
  <si>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</si>
  <si>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</si>
  <si>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</si>
  <si>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</si>
  <si>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</si>
  <si>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</si>
  <si>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</si>
  <si>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</si>
  <si>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</si>
  <si>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</si>
  <si>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</si>
  <si>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</si>
  <si>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</si>
  <si>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</si>
  <si>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</si>
  <si>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</si>
  <si>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</si>
  <si>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</si>
  <si>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</si>
  <si>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</si>
  <si>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</si>
  <si>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</si>
  <si>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</si>
  <si>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</si>
  <si>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</si>
  <si>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</si>
  <si>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</si>
  <si>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</si>
  <si>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</si>
  <si>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</si>
  <si>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</si>
  <si>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</si>
  <si>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</si>
  <si>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</si>
  <si>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</si>
  <si>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</si>
  <si>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</si>
  <si>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</si>
  <si>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</si>
  <si>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</si>
  <si>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</si>
  <si>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</si>
  <si>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</si>
  <si>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</si>
  <si>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</si>
  <si>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</si>
  <si>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</si>
  <si>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</si>
  <si>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</si>
  <si>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</si>
  <si>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</si>
  <si>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</si>
  <si>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</si>
  <si>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</si>
  <si>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</si>
  <si>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</si>
  <si>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</si>
  <si>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</si>
  <si>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</si>
  <si>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</si>
  <si>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</si>
  <si>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</si>
  <si>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</si>
  <si>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</si>
  <si>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</si>
  <si>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</si>
  <si>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</si>
  <si>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</si>
  <si>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</si>
  <si>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</si>
  <si>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</si>
  <si>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</si>
  <si>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</si>
  <si>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</si>
  <si>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</si>
  <si>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</si>
  <si>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</si>
  <si>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</si>
  <si>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</si>
  <si>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</si>
  <si>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</si>
  <si>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</si>
  <si>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</si>
  <si>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</si>
  <si>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</si>
  <si>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</si>
  <si>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</si>
  <si>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</si>
  <si>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</si>
  <si>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</si>
  <si>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</si>
  <si>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</si>
  <si>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</si>
  <si>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</si>
  <si>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</si>
  <si>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</si>
  <si>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</si>
  <si>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</si>
  <si>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</si>
  <si>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</si>
  <si>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</si>
  <si>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</si>
  <si>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</si>
  <si>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</si>
  <si>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</si>
  <si>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</si>
  <si>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</si>
  <si>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</si>
  <si>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</si>
  <si>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</si>
  <si>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</si>
  <si>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</si>
  <si>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</si>
  <si>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</si>
  <si>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</si>
  <si>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</si>
  <si>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</si>
  <si>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</si>
  <si>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</si>
  <si>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</si>
  <si>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</si>
  <si>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</si>
  <si>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</si>
  <si>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</si>
  <si>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</si>
  <si>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</si>
  <si>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</si>
  <si>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</si>
  <si>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</si>
  <si>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</si>
  <si>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</si>
  <si>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</si>
  <si>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</si>
  <si>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</si>
  <si>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</si>
  <si>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</si>
  <si>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</si>
  <si>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</si>
  <si>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</si>
  <si>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</si>
  <si>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</si>
  <si>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</si>
  <si>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</si>
  <si>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</si>
  <si>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</si>
  <si>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</si>
  <si>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</si>
  <si>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</si>
  <si>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</si>
  <si>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</si>
  <si>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</si>
  <si>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</si>
  <si>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</si>
  <si>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</si>
  <si>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</si>
  <si>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</si>
  <si>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</si>
  <si>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</si>
  <si>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</si>
  <si>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</si>
  <si>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</si>
  <si>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</si>
  <si>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</si>
  <si>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</si>
  <si>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</si>
  <si>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</si>
  <si>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</si>
  <si>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</si>
  <si>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</si>
  <si>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</si>
  <si>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</si>
  <si>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</si>
  <si>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</si>
  <si>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</si>
  <si>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</si>
  <si>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</si>
  <si>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</si>
  <si>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</si>
  <si>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</si>
  <si>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</si>
  <si>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</si>
  <si>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</si>
  <si>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</si>
  <si>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</si>
  <si>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</si>
  <si>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</si>
  <si>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</si>
  <si>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</si>
  <si>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</si>
  <si>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</si>
  <si>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</si>
  <si>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</si>
  <si>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</si>
  <si>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</si>
  <si>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</si>
  <si>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</si>
  <si>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</si>
  <si>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</si>
  <si>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</si>
  <si>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</si>
  <si>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</si>
  <si>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</si>
  <si>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</si>
  <si>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</si>
  <si>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</si>
  <si>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</si>
  <si>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</si>
  <si>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</si>
  <si>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</si>
  <si>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</si>
  <si>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</si>
  <si>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</si>
  <si>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</si>
  <si>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</si>
  <si>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</si>
  <si>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</si>
  <si>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</si>
  <si>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</si>
  <si>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</si>
  <si>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</si>
  <si>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</si>
  <si>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</si>
  <si>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</si>
  <si>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</si>
  <si>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</si>
  <si>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</si>
  <si>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</si>
  <si>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</si>
  <si>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</si>
  <si>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</si>
  <si>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</si>
  <si>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</si>
  <si>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</si>
  <si>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</si>
  <si>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</si>
  <si>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</si>
  <si>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</si>
  <si>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</si>
  <si>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</si>
  <si>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</si>
  <si>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</si>
  <si>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</si>
  <si>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</si>
  <si>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</si>
  <si>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</si>
  <si>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</si>
  <si>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</si>
  <si>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</si>
  <si>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</si>
  <si>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</si>
  <si>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</si>
  <si>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</si>
  <si>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</si>
  <si>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</si>
  <si>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</si>
  <si>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</si>
  <si>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</si>
  <si>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</si>
  <si>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</si>
  <si>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</si>
  <si>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</si>
  <si>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</si>
  <si>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</si>
  <si>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</si>
  <si>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</si>
  <si>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</si>
  <si>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</si>
  <si>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</si>
  <si>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</si>
  <si>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</si>
  <si>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</si>
  <si>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</si>
  <si>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</si>
  <si>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</si>
  <si>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</si>
  <si>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</si>
  <si>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</si>
  <si>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</si>
  <si>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</si>
  <si>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</si>
  <si>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</si>
  <si>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</si>
  <si>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</si>
  <si>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</si>
  <si>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</si>
  <si>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</si>
  <si>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</si>
  <si>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</si>
  <si>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</si>
  <si>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</si>
  <si>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</si>
  <si>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</si>
  <si>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</si>
  <si>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</si>
  <si>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</si>
  <si>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</si>
  <si>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</si>
  <si>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</si>
  <si>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</si>
  <si>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</si>
  <si>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</si>
  <si>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</si>
  <si>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</si>
  <si>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</si>
  <si>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</si>
  <si>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</si>
  <si>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</si>
  <si>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</si>
  <si>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</si>
  <si>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</si>
  <si>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</si>
  <si>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</si>
  <si>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</si>
  <si>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</si>
  <si>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</si>
  <si>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</si>
  <si>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</si>
  <si>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</si>
  <si>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</si>
  <si>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</si>
  <si>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</si>
  <si>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</si>
  <si>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</si>
  <si>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</si>
  <si>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</si>
  <si>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</si>
  <si>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</si>
  <si>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</si>
  <si>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</si>
  <si>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</si>
  <si>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</si>
  <si>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</si>
  <si>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</si>
  <si>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</si>
  <si>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</si>
  <si>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</si>
  <si>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</si>
  <si>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</si>
  <si>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</si>
  <si>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</si>
  <si>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</si>
  <si>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</si>
  <si>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</si>
  <si>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</si>
  <si>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</si>
  <si>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</si>
  <si>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</si>
  <si>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</si>
  <si>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</si>
  <si>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</si>
  <si>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</si>
  <si>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</si>
  <si>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</si>
  <si>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</si>
  <si>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</si>
  <si>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</si>
  <si>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</si>
  <si>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</si>
  <si>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</si>
  <si>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</si>
  <si>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</si>
  <si>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</si>
  <si>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</si>
  <si>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</si>
  <si>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</si>
  <si>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</si>
  <si>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</si>
  <si>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</si>
  <si>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</si>
  <si>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</si>
  <si>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</si>
  <si>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</si>
  <si>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</si>
  <si>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</si>
  <si>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</si>
  <si>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</si>
  <si>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</si>
  <si>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</si>
  <si>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</si>
  <si>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</si>
  <si>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</si>
  <si>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</si>
  <si>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</si>
  <si>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</si>
  <si>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</si>
  <si>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</si>
  <si>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</si>
  <si>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</si>
  <si>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</si>
  <si>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</si>
  <si>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</si>
  <si>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</si>
  <si>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</si>
  <si>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</si>
  <si>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</si>
  <si>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</si>
  <si>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</si>
  <si>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</si>
  <si>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</si>
  <si>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</si>
  <si>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</si>
  <si>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</si>
  <si>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</si>
  <si>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</si>
  <si>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</si>
  <si>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</si>
  <si>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</si>
  <si>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</si>
  <si>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</si>
  <si>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</si>
  <si>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</si>
  <si>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</si>
  <si>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</si>
  <si>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</si>
  <si>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</si>
  <si>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</si>
  <si>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</si>
  <si>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</si>
  <si>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</si>
  <si>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</si>
  <si>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</si>
  <si>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</si>
  <si>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</si>
  <si>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</si>
  <si>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</si>
  <si>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</si>
  <si>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</si>
  <si>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</si>
  <si>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</si>
  <si>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</si>
  <si>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</si>
  <si>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</si>
  <si>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</si>
  <si>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</si>
  <si>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</si>
  <si>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</si>
  <si>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</si>
  <si>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</si>
  <si>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</si>
  <si>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</si>
  <si>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</si>
  <si>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</si>
  <si>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</si>
  <si>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</si>
  <si>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</si>
  <si>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</si>
  <si>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</si>
  <si>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</si>
  <si>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</si>
  <si>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</si>
  <si>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</si>
  <si>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</si>
  <si>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</si>
  <si>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</si>
  <si>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</si>
  <si>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</si>
  <si>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</si>
  <si>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</si>
  <si>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</si>
  <si>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</si>
  <si>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</si>
  <si>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</si>
  <si>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</si>
  <si>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</si>
  <si>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</si>
  <si>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</si>
  <si>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</si>
  <si>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</si>
  <si>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</si>
  <si>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</si>
  <si>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</si>
  <si>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</si>
  <si>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</si>
  <si>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</si>
  <si>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</si>
  <si>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</si>
  <si>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</si>
  <si>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</si>
  <si>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</si>
  <si>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</si>
  <si>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</si>
  <si>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</si>
  <si>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</si>
  <si>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</si>
  <si>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</si>
  <si>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</si>
  <si>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</si>
  <si>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</si>
  <si>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</si>
  <si>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</si>
  <si>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</si>
  <si>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</si>
  <si>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</si>
  <si>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</si>
  <si>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</si>
  <si>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</si>
  <si>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</si>
  <si>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</si>
  <si>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</si>
  <si>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</si>
  <si>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</si>
  <si>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</si>
  <si>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</si>
  <si>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</si>
  <si>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</si>
  <si>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</si>
  <si>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</si>
  <si>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</si>
  <si>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</si>
  <si>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</si>
  <si>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</si>
  <si>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</si>
  <si>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</si>
  <si>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</si>
  <si>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</si>
  <si>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</si>
  <si>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</si>
  <si>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</si>
  <si>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</si>
  <si>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</si>
  <si>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</si>
  <si>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</si>
  <si>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</si>
  <si>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</si>
  <si>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</si>
  <si>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</si>
  <si>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</si>
  <si>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</si>
  <si>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</si>
  <si>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</si>
  <si>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</si>
  <si>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</si>
  <si>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</si>
  <si>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</si>
  <si>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</si>
  <si>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</si>
  <si>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</si>
  <si>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</si>
  <si>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</si>
  <si>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</si>
  <si>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</si>
  <si>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</si>
  <si>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</si>
  <si>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</si>
  <si>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</si>
  <si>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</si>
  <si>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</si>
  <si>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</si>
  <si>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</si>
  <si>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</si>
  <si>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</si>
  <si>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</si>
  <si>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</si>
  <si>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</si>
  <si>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</si>
  <si>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</si>
  <si>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</si>
  <si>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</si>
  <si>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</si>
  <si>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</si>
  <si>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</si>
  <si>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</si>
  <si>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</si>
  <si>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</si>
  <si>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</si>
  <si>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</si>
  <si>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</si>
  <si>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</si>
  <si>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</si>
  <si>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</si>
  <si>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</si>
  <si>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</si>
  <si>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</si>
  <si>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</si>
  <si>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</si>
  <si>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</si>
  <si>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</si>
  <si>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</si>
  <si>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</si>
  <si>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</si>
  <si>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</si>
  <si>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</si>
  <si>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</si>
  <si>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</si>
  <si>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</si>
  <si>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</si>
  <si>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</si>
  <si>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</si>
  <si>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</si>
  <si>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</si>
  <si>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</si>
  <si>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</si>
  <si>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</si>
  <si>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</si>
  <si>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</si>
  <si>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</si>
  <si>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</si>
  <si>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</si>
  <si>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</si>
  <si>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</si>
  <si>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</si>
  <si>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</si>
  <si>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</si>
  <si>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</si>
  <si>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</si>
  <si>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</si>
  <si>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</si>
  <si>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</si>
  <si>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</si>
  <si>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</si>
  <si>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</si>
  <si>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</si>
  <si>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</si>
  <si>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</si>
  <si>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</si>
  <si>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</si>
  <si>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</si>
  <si>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</si>
  <si>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</si>
  <si>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</si>
  <si>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</si>
  <si>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</si>
  <si>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</si>
  <si>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</si>
  <si>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</si>
  <si>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</si>
  <si>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</si>
  <si>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</si>
  <si>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</si>
  <si>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</si>
  <si>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</si>
  <si>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</si>
  <si>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</si>
  <si>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</si>
  <si>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</si>
  <si>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</si>
  <si>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</si>
  <si>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</si>
  <si>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</si>
  <si>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</si>
  <si>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</si>
  <si>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</si>
  <si>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</si>
  <si>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</si>
  <si>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</si>
  <si>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</si>
  <si>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</si>
  <si>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</si>
  <si>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</si>
  <si>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</si>
  <si>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</si>
  <si>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</si>
  <si>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</si>
  <si>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</si>
  <si>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</si>
  <si>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</si>
  <si>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</si>
  <si>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</si>
  <si>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</si>
  <si>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</si>
  <si>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</si>
  <si>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</si>
  <si>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</si>
  <si>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</si>
  <si>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</si>
  <si>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</si>
  <si>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</si>
  <si>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</si>
  <si>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</si>
  <si>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</si>
  <si>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</si>
  <si>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</si>
  <si>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</si>
  <si>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</si>
  <si>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</si>
  <si>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</si>
  <si>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</si>
  <si>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</si>
  <si>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</si>
  <si>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</si>
  <si>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</si>
  <si>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</si>
  <si>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</si>
  <si>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</si>
  <si>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</si>
  <si>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</si>
  <si>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</si>
  <si>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</si>
  <si>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</si>
  <si>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</si>
  <si>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</si>
  <si>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</si>
  <si>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</si>
  <si>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</si>
  <si>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</si>
  <si>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</si>
  <si>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</si>
  <si>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</si>
  <si>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</si>
  <si>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</si>
  <si>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</si>
  <si>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</si>
  <si>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</si>
  <si>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</si>
  <si>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</si>
  <si>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</si>
  <si>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</si>
  <si>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</si>
  <si>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</si>
  <si>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</si>
  <si>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</si>
  <si>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</si>
  <si>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</si>
  <si>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</si>
  <si>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</si>
  <si>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</si>
  <si>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</si>
  <si>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</si>
  <si>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</si>
  <si>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</si>
  <si>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</si>
  <si>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</si>
  <si>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</si>
  <si>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</si>
  <si>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</si>
  <si>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</si>
  <si>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</si>
  <si>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</si>
  <si>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</si>
  <si>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</si>
  <si>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</si>
  <si>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</si>
  <si>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</si>
  <si>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</si>
  <si>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</si>
  <si>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</si>
  <si>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</si>
  <si>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</si>
  <si>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</si>
  <si>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</si>
  <si>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</si>
  <si>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</si>
  <si>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</si>
  <si>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</si>
  <si>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</si>
  <si>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</si>
  <si>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</si>
  <si>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</si>
  <si>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</si>
  <si>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</si>
  <si>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</si>
  <si>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</si>
  <si>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</si>
  <si>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</si>
  <si>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</si>
  <si>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</si>
  <si>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</si>
  <si>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</si>
  <si>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</si>
  <si>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</si>
  <si>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</si>
  <si>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</si>
  <si>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</si>
  <si>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</si>
  <si>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</si>
  <si>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</si>
  <si>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</si>
  <si>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</si>
  <si>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</si>
  <si>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</si>
  <si>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</si>
  <si>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</si>
  <si>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</si>
  <si>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</si>
  <si>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</si>
  <si>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</si>
  <si>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</si>
  <si>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</si>
  <si>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</si>
  <si>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</si>
  <si>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</si>
  <si>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</si>
  <si>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</si>
  <si>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</si>
  <si>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</si>
  <si>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</si>
  <si>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</si>
  <si>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</si>
  <si>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</si>
  <si>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</si>
  <si>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</si>
  <si>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</si>
  <si>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</si>
  <si>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</si>
  <si>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</si>
  <si>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</si>
  <si>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</si>
  <si>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</si>
  <si>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</si>
  <si>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</si>
  <si>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</si>
  <si>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</si>
  <si>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</si>
  <si>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</si>
  <si>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</si>
  <si>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</si>
  <si>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</si>
  <si>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</si>
  <si>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</si>
  <si>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</si>
  <si>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</si>
  <si>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</si>
  <si>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</si>
  <si>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</si>
  <si>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</si>
  <si>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</si>
  <si>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</si>
  <si>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</si>
  <si>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</si>
  <si>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</si>
  <si>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</si>
  <si>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</si>
  <si>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</si>
  <si>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</si>
  <si>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</si>
  <si>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</si>
  <si>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</si>
  <si>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</si>
  <si>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</si>
  <si>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</si>
  <si>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</si>
  <si>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</si>
  <si>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</si>
  <si>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</si>
  <si>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</si>
  <si>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</si>
  <si>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</si>
  <si>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</si>
  <si>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</si>
  <si>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</si>
  <si>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</si>
  <si>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</si>
  <si>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</si>
  <si>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</si>
  <si>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</si>
  <si>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</si>
  <si>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</si>
  <si>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</si>
  <si>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</si>
  <si>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</si>
  <si>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</si>
  <si>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</si>
  <si>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</si>
  <si>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</si>
  <si>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</si>
  <si>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</si>
  <si>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</si>
  <si>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</si>
  <si>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</si>
  <si>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</si>
  <si>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</si>
  <si>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</si>
  <si>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</si>
  <si>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</si>
  <si>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</si>
  <si>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</si>
  <si>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</si>
  <si>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</si>
  <si>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</si>
  <si>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</si>
  <si>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</si>
  <si>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</si>
  <si>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</si>
  <si>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</si>
  <si>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</si>
  <si>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</si>
  <si>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</si>
  <si>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</si>
  <si>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</si>
  <si>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</si>
  <si>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</si>
  <si>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</si>
  <si>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</si>
  <si>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</si>
  <si>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</si>
  <si>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</si>
  <si>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</si>
  <si>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</si>
  <si>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</si>
  <si>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</si>
  <si>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</si>
  <si>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</si>
  <si>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</si>
  <si>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</si>
  <si>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</si>
  <si>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</si>
  <si>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</si>
  <si>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</si>
  <si>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</si>
  <si>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</si>
  <si>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</si>
  <si>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</si>
  <si>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</si>
  <si>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</si>
  <si>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</si>
  <si>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</si>
  <si>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</si>
  <si>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</si>
  <si>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</si>
  <si>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</si>
  <si>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</si>
  <si>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</si>
  <si>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</si>
  <si>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</si>
  <si>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</si>
  <si>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</si>
  <si>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</si>
  <si>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</si>
  <si>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</si>
  <si>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</si>
  <si>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</si>
  <si>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</si>
  <si>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</si>
  <si>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</si>
  <si>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</si>
  <si>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</si>
  <si>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</si>
  <si>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</si>
  <si>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</si>
  <si>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</si>
  <si>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</si>
  <si>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</si>
  <si>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</si>
  <si>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</si>
  <si>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</si>
  <si>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</si>
  <si>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</si>
  <si>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</si>
  <si>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</si>
  <si>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</si>
  <si>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</si>
  <si>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</si>
  <si>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</si>
  <si>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</si>
  <si>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</si>
  <si>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</si>
  <si>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</si>
  <si>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</si>
  <si>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</si>
  <si>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</si>
  <si>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</si>
  <si>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</si>
  <si>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</si>
  <si>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</si>
  <si>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</si>
  <si>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</si>
  <si>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</si>
  <si>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</si>
  <si>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</si>
  <si>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</si>
  <si>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</si>
  <si>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</si>
  <si>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</si>
  <si>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</si>
  <si>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</si>
  <si>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</si>
  <si>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</si>
  <si>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</si>
  <si>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</si>
  <si>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</si>
  <si>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</si>
  <si>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</si>
  <si>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</si>
  <si>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</si>
  <si>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</si>
  <si>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</si>
  <si>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</si>
  <si>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</si>
  <si>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</si>
  <si>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</si>
  <si>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</si>
  <si>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</si>
  <si>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</si>
  <si>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</si>
  <si>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</si>
  <si>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</si>
  <si>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</si>
  <si>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</si>
  <si>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</si>
  <si>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</si>
  <si>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</si>
  <si>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</si>
  <si>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</si>
  <si>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</si>
  <si>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</si>
  <si>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</si>
  <si>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</si>
  <si>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</si>
  <si>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</si>
  <si>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</si>
  <si>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</si>
  <si>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</si>
  <si>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</si>
  <si>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</si>
  <si>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</si>
  <si>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</si>
  <si>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</si>
  <si>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</si>
  <si>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</si>
  <si>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</si>
  <si>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</si>
  <si>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</si>
  <si>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</si>
  <si>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</si>
  <si>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</si>
  <si>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</si>
  <si>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</si>
  <si>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</si>
  <si>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</si>
  <si>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</si>
  <si>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</si>
  <si>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</si>
  <si>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</si>
  <si>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</si>
  <si>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</si>
  <si>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</si>
  <si>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</si>
  <si>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</si>
  <si>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</si>
  <si>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</si>
  <si>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</si>
  <si>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</si>
  <si>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</si>
  <si>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</si>
  <si>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</si>
  <si>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</si>
  <si>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</si>
  <si>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</si>
  <si>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</si>
  <si>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</si>
  <si>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</si>
  <si>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</si>
  <si>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</si>
  <si>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</si>
  <si>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</si>
  <si>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</si>
  <si>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</si>
  <si>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</si>
  <si>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</si>
  <si>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</si>
  <si>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</si>
  <si>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</si>
  <si>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</si>
  <si>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</si>
  <si>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</si>
  <si>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</si>
  <si>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</si>
  <si>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</si>
  <si>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</si>
  <si>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</si>
  <si>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</si>
  <si>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</si>
  <si>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</si>
  <si>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</si>
  <si>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</si>
  <si>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</si>
  <si>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</si>
  <si>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</si>
  <si>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</si>
  <si>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</si>
  <si>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</si>
  <si>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</si>
  <si>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</si>
  <si>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</si>
  <si>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</si>
  <si>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</si>
  <si>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</si>
  <si>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</si>
  <si>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</si>
  <si>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</si>
  <si>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</si>
  <si>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</si>
  <si>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</si>
  <si>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</si>
  <si>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</si>
  <si>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</si>
  <si>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</si>
  <si>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</si>
  <si>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</si>
  <si>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</si>
  <si>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</si>
  <si>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</si>
  <si>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</si>
  <si>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</si>
  <si>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</si>
  <si>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</si>
  <si>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</si>
  <si>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</si>
  <si>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</si>
  <si>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</si>
  <si>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</si>
  <si>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</si>
  <si>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</si>
  <si>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</si>
  <si>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</si>
  <si>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</si>
  <si>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</si>
  <si>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</si>
  <si>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</si>
  <si>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</si>
  <si>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</si>
  <si>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</si>
  <si>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</si>
  <si>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</si>
  <si>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</si>
  <si>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</si>
  <si>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</si>
  <si>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</si>
  <si>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</si>
  <si>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</si>
  <si>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</si>
  <si>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</si>
  <si>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</si>
  <si>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</si>
  <si>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</si>
  <si>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</si>
  <si>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</si>
  <si>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</si>
  <si>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</si>
  <si>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</si>
  <si>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</si>
  <si>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</si>
  <si>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</si>
  <si>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</si>
  <si>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</si>
  <si>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</si>
  <si>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</si>
  <si>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</si>
  <si>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</si>
  <si>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</si>
  <si>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</si>
  <si>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</si>
  <si>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</si>
  <si>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</si>
  <si>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</si>
  <si>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</si>
  <si>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</si>
  <si>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</si>
  <si>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</si>
  <si>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</si>
  <si>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</si>
  <si>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</si>
  <si>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</si>
  <si>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</si>
  <si>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</si>
  <si>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</si>
  <si>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</si>
  <si>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</si>
  <si>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</si>
  <si>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</si>
  <si>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</si>
  <si>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</si>
  <si>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</si>
  <si>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</si>
  <si>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</si>
  <si>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</si>
  <si>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</si>
  <si>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</si>
  <si>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</si>
  <si>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</si>
  <si>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</si>
  <si>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</si>
  <si>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</si>
  <si>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</si>
  <si>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</si>
  <si>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</si>
  <si>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</si>
  <si>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</si>
  <si>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</si>
  <si>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</si>
  <si>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</si>
  <si>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</si>
  <si>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</si>
  <si>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</si>
  <si>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</si>
  <si>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</si>
  <si>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</si>
  <si>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</si>
  <si>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</si>
  <si>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</si>
  <si>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</si>
  <si>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</si>
  <si>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</si>
  <si>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</si>
  <si>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</si>
  <si>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</si>
  <si>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</si>
  <si>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</si>
  <si>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</si>
  <si>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</si>
  <si>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</si>
  <si>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</si>
  <si>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</si>
  <si>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</si>
  <si>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</si>
  <si>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</si>
  <si>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</si>
  <si>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</si>
  <si>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</si>
  <si>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</si>
  <si>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</si>
  <si>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</si>
  <si>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</si>
  <si>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</si>
  <si>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</si>
  <si>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</si>
  <si>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</si>
  <si>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</si>
  <si>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</si>
  <si>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</si>
  <si>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</si>
  <si>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</si>
  <si>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</si>
  <si>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</si>
  <si>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</si>
  <si>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</si>
  <si>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</si>
  <si>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</si>
  <si>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</si>
  <si>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</si>
  <si>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</si>
  <si>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</si>
  <si>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</si>
  <si>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</si>
  <si>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</si>
  <si>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</si>
  <si>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</si>
  <si>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</si>
  <si>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</si>
  <si>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</si>
  <si>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</si>
  <si>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</si>
  <si>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</si>
  <si>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</si>
  <si>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</si>
  <si>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</si>
  <si>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</si>
  <si>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</si>
  <si>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</si>
  <si>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</si>
  <si>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</si>
  <si>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</si>
  <si>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</si>
  <si>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</si>
  <si>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</si>
  <si>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</si>
  <si>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</si>
  <si>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</si>
  <si>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</si>
  <si>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</si>
  <si>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</si>
  <si>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</si>
  <si>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</si>
  <si>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</si>
  <si>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</si>
  <si>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</si>
  <si>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</si>
  <si>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</si>
  <si>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</si>
  <si>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</si>
  <si>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</si>
  <si>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</si>
  <si>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</si>
  <si>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</si>
  <si>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</si>
  <si>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</si>
  <si>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</si>
  <si>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</si>
  <si>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</si>
  <si>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</si>
  <si>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</si>
  <si>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</si>
  <si>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</si>
  <si>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</si>
  <si>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</si>
  <si>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</si>
  <si>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</si>
  <si>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</si>
  <si>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</si>
  <si>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</si>
  <si>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</si>
  <si>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</si>
  <si>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</si>
  <si>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</si>
  <si>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</si>
  <si>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</si>
  <si>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</si>
  <si>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</si>
  <si>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</si>
  <si>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</si>
  <si>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</si>
  <si>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</si>
  <si>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</si>
  <si>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</si>
  <si>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</si>
  <si>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</si>
  <si>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</si>
  <si>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</si>
  <si>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</si>
  <si>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</si>
  <si>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</si>
  <si>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</si>
  <si>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</si>
  <si>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</si>
  <si>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</si>
  <si>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</si>
  <si>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</si>
  <si>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</si>
  <si>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</si>
  <si>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</si>
  <si>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</si>
  <si>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</si>
  <si>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</si>
  <si>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</si>
  <si>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</si>
  <si>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</si>
  <si>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</si>
  <si>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</si>
  <si>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</si>
  <si>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</si>
  <si>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</si>
  <si>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</si>
  <si>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</si>
  <si>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</si>
  <si>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</si>
  <si>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</si>
  <si>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</si>
  <si>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</si>
  <si>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</si>
  <si>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</si>
  <si>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</si>
  <si>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</si>
  <si>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</si>
  <si>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</si>
  <si>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</si>
  <si>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</si>
  <si>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</si>
  <si>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</si>
  <si>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</si>
  <si>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</si>
  <si>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</si>
  <si>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</si>
  <si>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</si>
  <si>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</si>
  <si>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</si>
  <si>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</si>
  <si>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</si>
  <si>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</si>
  <si>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</si>
  <si>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</si>
  <si>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</si>
  <si>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</si>
  <si>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</si>
  <si>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</si>
  <si>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</si>
  <si>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</si>
  <si>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</si>
  <si>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</si>
  <si>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</si>
  <si>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</si>
  <si>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</si>
  <si>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</si>
  <si>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</si>
  <si>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</si>
  <si>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</si>
  <si>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</si>
  <si>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</si>
  <si>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</si>
  <si>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</si>
  <si>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</si>
  <si>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</si>
  <si>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</si>
  <si>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</si>
  <si>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</si>
  <si>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</si>
  <si>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</si>
  <si>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</si>
  <si>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</si>
  <si>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</si>
  <si>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</si>
  <si>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</si>
  <si>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</si>
  <si>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</si>
  <si>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</si>
  <si>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</si>
  <si>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</si>
  <si>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</si>
  <si>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</si>
  <si>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</si>
  <si>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</si>
  <si>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</si>
  <si>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</si>
  <si>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</si>
  <si>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</si>
  <si>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</si>
  <si>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</si>
  <si>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</si>
  <si>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</si>
  <si>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</si>
  <si>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</si>
  <si>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</si>
  <si>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</si>
  <si>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</si>
  <si>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</si>
  <si>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</si>
  <si>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</si>
  <si>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</si>
  <si>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</si>
  <si>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</si>
  <si>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</si>
  <si>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</si>
  <si>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</si>
  <si>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</si>
  <si>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</si>
  <si>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</si>
  <si>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</si>
  <si>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</si>
  <si>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</si>
  <si>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</si>
  <si>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</si>
  <si>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</si>
  <si>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</si>
  <si>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</si>
  <si>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</si>
  <si>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</si>
  <si>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</si>
  <si>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</si>
  <si>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</si>
  <si>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</si>
  <si>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</si>
  <si>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</si>
  <si>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</si>
  <si>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</si>
  <si>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</si>
  <si>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</si>
  <si>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</si>
  <si>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</si>
  <si>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</si>
  <si>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</si>
  <si>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</si>
  <si>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</si>
  <si>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</si>
  <si>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</si>
  <si>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</si>
  <si>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</si>
  <si>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</si>
  <si>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</si>
  <si>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</si>
  <si>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</si>
  <si>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</si>
  <si>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</si>
  <si>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</si>
  <si>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</si>
  <si>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</si>
  <si>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</si>
  <si>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</si>
  <si>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</si>
  <si>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</si>
  <si>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</si>
  <si>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</si>
  <si>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</si>
  <si>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</si>
  <si>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</si>
  <si>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</si>
  <si>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</si>
  <si>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</si>
  <si>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</si>
  <si>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</si>
  <si>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</si>
  <si>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</si>
  <si>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</si>
  <si>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</si>
  <si>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</si>
  <si>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</si>
  <si>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</si>
  <si>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</si>
  <si>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</si>
  <si>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</si>
  <si>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</si>
  <si>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</si>
  <si>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</si>
  <si>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</si>
  <si>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</si>
  <si>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</si>
  <si>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</si>
  <si>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</si>
  <si>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</si>
  <si>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</si>
  <si>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</si>
  <si>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</si>
  <si>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</si>
  <si>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</si>
  <si>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</si>
  <si>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</si>
  <si>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</si>
  <si>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</si>
  <si>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</si>
  <si>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</si>
  <si>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</si>
  <si>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</si>
  <si>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</si>
  <si>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</si>
  <si>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</si>
  <si>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</si>
  <si>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</si>
  <si>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</si>
  <si>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</si>
  <si>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</si>
  <si>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</si>
  <si>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</si>
  <si>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</si>
  <si>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</si>
  <si>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</si>
  <si>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</si>
  <si>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</si>
  <si>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</si>
  <si>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</si>
  <si>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</si>
  <si>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</si>
  <si>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</si>
  <si>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</si>
  <si>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</si>
  <si>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</si>
  <si>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</si>
  <si>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</si>
  <si>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</si>
  <si>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</si>
  <si>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</si>
  <si>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</si>
  <si>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</si>
  <si>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</si>
  <si>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</si>
  <si>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</si>
  <si>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</si>
  <si>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</si>
  <si>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</si>
  <si>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</si>
  <si>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</si>
  <si>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</si>
  <si>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</si>
  <si>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</si>
  <si>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</si>
  <si>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</si>
  <si>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</si>
  <si>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</si>
  <si>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</si>
  <si>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</si>
  <si>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</si>
  <si>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</si>
  <si>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</si>
  <si>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</si>
  <si>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</si>
  <si>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</si>
  <si>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</si>
  <si>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</si>
  <si>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</si>
  <si>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</si>
  <si>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</si>
  <si>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</si>
  <si>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</si>
  <si>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</si>
  <si>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</si>
  <si>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</si>
  <si>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</si>
  <si>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</si>
  <si>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</si>
  <si>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</si>
  <si>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</si>
  <si>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</si>
  <si>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</si>
  <si>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</si>
  <si>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</si>
  <si>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</si>
  <si>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</si>
  <si>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</si>
  <si>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</si>
  <si>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</si>
  <si>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</si>
  <si>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</si>
  <si>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</si>
  <si>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</si>
  <si>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</si>
  <si>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</si>
  <si>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</si>
  <si>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</si>
  <si>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</si>
  <si>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</si>
  <si>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</si>
  <si>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</si>
  <si>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</si>
  <si>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</si>
  <si>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</si>
  <si>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</si>
  <si>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</si>
  <si>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</si>
  <si>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</si>
  <si>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</si>
  <si>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</si>
  <si>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</si>
  <si>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</si>
  <si>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</si>
  <si>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</si>
  <si>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</si>
  <si>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</si>
  <si>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</si>
  <si>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</si>
  <si>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</si>
  <si>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</si>
  <si>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</si>
  <si>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</si>
  <si>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</si>
  <si>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</si>
  <si>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</si>
  <si>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</si>
  <si>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</si>
  <si>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</si>
  <si>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</si>
  <si>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</si>
  <si>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</si>
  <si>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</si>
  <si>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</si>
  <si>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</si>
  <si>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</si>
  <si>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</si>
  <si>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</si>
  <si>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</si>
  <si>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</si>
  <si>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</si>
  <si>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</si>
  <si>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</si>
  <si>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</si>
  <si>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</si>
  <si>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</si>
  <si>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</si>
  <si>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</si>
  <si>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</si>
  <si>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</si>
  <si>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</si>
  <si>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</si>
  <si>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</si>
  <si>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</si>
  <si>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</si>
  <si>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</si>
  <si>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</si>
  <si>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</si>
  <si>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</si>
  <si>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</si>
  <si>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</si>
  <si>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</si>
  <si>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</si>
  <si>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</si>
  <si>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</si>
  <si>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</si>
  <si>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</si>
  <si>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</si>
  <si>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</si>
  <si>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</si>
  <si>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</si>
  <si>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</si>
  <si>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</si>
  <si>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</si>
  <si>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</si>
  <si>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</si>
  <si>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</si>
  <si>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</si>
  <si>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</si>
  <si>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</si>
  <si>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</si>
  <si>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</si>
  <si>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</si>
  <si>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</si>
  <si>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</si>
  <si>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</si>
  <si>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</si>
  <si>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</si>
  <si>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</si>
  <si>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</si>
  <si>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</si>
  <si>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</si>
  <si>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</si>
  <si>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</si>
  <si>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</si>
  <si>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</si>
  <si>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</si>
  <si>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</si>
  <si>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</si>
  <si>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</si>
  <si>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</si>
  <si>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</si>
  <si>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</si>
  <si>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</si>
  <si>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</si>
  <si>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</si>
  <si>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</si>
  <si>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</si>
  <si>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</si>
  <si>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</si>
  <si>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</si>
  <si>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</si>
  <si>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</si>
  <si>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</si>
  <si>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</si>
  <si>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</si>
  <si>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</si>
  <si>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</si>
  <si>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</si>
  <si>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</si>
  <si>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</si>
  <si>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</si>
  <si>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</si>
  <si>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</si>
  <si>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</si>
  <si>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</si>
  <si>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</si>
  <si>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</si>
  <si>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</si>
  <si>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</si>
  <si>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</si>
  <si>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</si>
  <si>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</si>
  <si>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</si>
  <si>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</si>
  <si>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</si>
  <si>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</si>
  <si>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</si>
  <si>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</si>
  <si>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</si>
  <si>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</si>
  <si>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</si>
  <si>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</si>
  <si>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</si>
  <si>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</si>
  <si>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</si>
  <si>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</si>
  <si>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</si>
  <si>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</si>
  <si>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</si>
  <si>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</si>
  <si>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</si>
  <si>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</si>
  <si>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</si>
  <si>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</si>
  <si>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</si>
  <si>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</si>
  <si>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</si>
  <si>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</si>
  <si>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</si>
  <si>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</si>
  <si>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</si>
  <si>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</si>
  <si>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</si>
  <si>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</si>
  <si>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</si>
  <si>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</si>
  <si>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</si>
  <si>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</si>
  <si>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</si>
  <si>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</si>
  <si>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</si>
  <si>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</si>
  <si>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</si>
  <si>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</si>
  <si>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</si>
  <si>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</si>
  <si>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</si>
  <si>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</si>
  <si>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</si>
  <si>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</si>
  <si>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</si>
  <si>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</si>
  <si>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</si>
  <si>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</si>
  <si>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</si>
  <si>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</si>
  <si>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</si>
  <si>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</si>
  <si>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</si>
  <si>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</si>
  <si>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</si>
  <si>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</si>
  <si>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</si>
  <si>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</si>
  <si>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</si>
  <si>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</si>
  <si>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</si>
  <si>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</si>
  <si>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</si>
  <si>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</si>
  <si>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</si>
  <si>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</si>
  <si>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</si>
  <si>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</si>
  <si>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</si>
  <si>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</si>
  <si>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</si>
  <si>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</si>
  <si>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</si>
  <si>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</si>
  <si>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</si>
  <si>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</si>
  <si>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</si>
  <si>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</si>
  <si>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</si>
  <si>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</si>
  <si>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</si>
  <si>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</si>
  <si>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</si>
  <si>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</si>
  <si>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</si>
  <si>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</si>
  <si>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</si>
  <si>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</si>
  <si>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</si>
  <si>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</si>
  <si>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</si>
  <si>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</si>
  <si>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</si>
  <si>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</si>
  <si>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</si>
  <si>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</si>
  <si>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</si>
  <si>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</si>
  <si>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</si>
  <si>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</si>
  <si>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</si>
  <si>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</si>
  <si>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</si>
  <si>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</si>
  <si>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</si>
  <si>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</si>
  <si>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</si>
  <si>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</si>
  <si>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</si>
  <si>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</si>
  <si>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</si>
  <si>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</si>
  <si>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</si>
  <si>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</si>
  <si>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</si>
  <si>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</si>
  <si>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</si>
  <si>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</si>
  <si>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</si>
  <si>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</si>
  <si>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</si>
  <si>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</si>
  <si>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</si>
  <si>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</si>
  <si>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</si>
  <si>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</si>
  <si>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</si>
  <si>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</si>
  <si>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</si>
  <si>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</si>
  <si>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</si>
  <si>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</si>
  <si>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</si>
  <si>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</si>
  <si>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</si>
  <si>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</si>
  <si>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</si>
  <si>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</si>
  <si>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</si>
  <si>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</si>
  <si>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</si>
  <si>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</si>
  <si>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</si>
  <si>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</si>
  <si>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</si>
  <si>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</si>
  <si>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</si>
  <si>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</si>
  <si>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</si>
  <si>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</si>
  <si>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</si>
  <si>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</si>
  <si>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</si>
  <si>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</si>
  <si>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</si>
  <si>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</si>
  <si>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</si>
  <si>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</si>
  <si>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</si>
  <si>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</si>
  <si>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</si>
  <si>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</si>
  <si>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</si>
  <si>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</si>
  <si>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</si>
  <si>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</si>
  <si>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</si>
  <si>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</si>
  <si>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</si>
  <si>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</si>
  <si>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</si>
  <si>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</si>
  <si>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</si>
  <si>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</si>
  <si>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</si>
  <si>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</si>
  <si>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</si>
  <si>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</si>
  <si>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</si>
  <si>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</si>
  <si>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</si>
  <si>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</si>
  <si>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</si>
  <si>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</si>
  <si>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</si>
  <si>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</si>
  <si>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</si>
  <si>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</si>
  <si>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</si>
  <si>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</si>
  <si>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</si>
  <si>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</si>
  <si>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</si>
  <si>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</si>
  <si>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</si>
  <si>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</si>
  <si>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</si>
  <si>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</si>
  <si>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</si>
  <si>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</si>
  <si>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</si>
  <si>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</si>
  <si>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</si>
  <si>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</si>
  <si>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</si>
  <si>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</si>
  <si>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</si>
  <si>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</si>
  <si>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</si>
  <si>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</si>
  <si>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</si>
  <si>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</si>
  <si>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</si>
  <si>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</si>
  <si>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</si>
  <si>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</si>
  <si>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</si>
  <si>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</si>
  <si>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</si>
  <si>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</si>
  <si>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</si>
  <si>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</si>
  <si>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</si>
  <si>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</si>
  <si>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</si>
  <si>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</si>
  <si>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</si>
  <si>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</si>
  <si>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</si>
  <si>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</si>
  <si>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</si>
  <si>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</si>
  <si>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</si>
  <si>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</si>
  <si>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</si>
  <si>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</si>
  <si>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</si>
  <si>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</si>
  <si>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</si>
  <si>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</si>
  <si>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</si>
  <si>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</si>
  <si>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</si>
  <si>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</si>
  <si>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</si>
  <si>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</si>
  <si>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</si>
  <si>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</si>
  <si>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</si>
  <si>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</si>
  <si>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</si>
  <si>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</si>
  <si>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</si>
  <si>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</si>
  <si>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</si>
  <si>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</si>
  <si>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</si>
  <si>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</si>
  <si>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</si>
  <si>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</si>
  <si>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</si>
  <si>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</si>
  <si>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</si>
  <si>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</si>
  <si>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</si>
  <si>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</si>
  <si>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</si>
  <si>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</si>
  <si>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</si>
  <si>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</si>
  <si>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</si>
  <si>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</si>
  <si>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</si>
  <si>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</si>
  <si>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</si>
  <si>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</si>
  <si>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</si>
  <si>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</si>
  <si>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</si>
  <si>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</si>
  <si>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</si>
  <si>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</si>
  <si>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</si>
  <si>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</si>
  <si>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</si>
  <si>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</si>
  <si>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</si>
  <si>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</si>
  <si>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</si>
  <si>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</si>
  <si>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</si>
  <si>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</si>
  <si>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</si>
  <si>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</si>
  <si>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</si>
  <si>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</si>
  <si>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</si>
  <si>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</si>
  <si>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</si>
  <si>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</si>
  <si>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</si>
  <si>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</si>
  <si>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</si>
  <si>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</si>
  <si>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</si>
  <si>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</si>
  <si>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</si>
  <si>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</si>
  <si>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</si>
  <si>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</si>
  <si>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</si>
  <si>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</si>
  <si>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</si>
  <si>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</si>
  <si>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</si>
  <si>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</si>
  <si>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</si>
  <si>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</si>
  <si>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</si>
  <si>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</si>
  <si>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</si>
  <si>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</si>
  <si>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</si>
  <si>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</si>
  <si>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</si>
  <si>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</si>
  <si>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</si>
  <si>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</si>
  <si>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</si>
  <si>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</si>
  <si>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</si>
  <si>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</si>
  <si>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</si>
  <si>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</si>
  <si>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</si>
  <si>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</si>
  <si>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</si>
  <si>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</si>
  <si>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</si>
  <si>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</si>
  <si>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</si>
  <si>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</si>
  <si>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</si>
  <si>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</si>
  <si>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</si>
  <si>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</si>
  <si>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</si>
  <si>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</si>
  <si>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</si>
  <si>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</si>
  <si>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</si>
  <si>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</si>
  <si>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</si>
  <si>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</si>
  <si>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</si>
  <si>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</si>
  <si>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</si>
  <si>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</si>
  <si>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</si>
  <si>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</si>
  <si>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</si>
  <si>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</si>
  <si>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</si>
  <si>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</si>
  <si>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</si>
  <si>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</si>
  <si>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</si>
  <si>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</si>
  <si>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</si>
  <si>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</si>
  <si>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</si>
  <si>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</si>
  <si>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</si>
  <si>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</si>
  <si>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</si>
  <si>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</si>
  <si>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</si>
  <si>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</si>
  <si>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</si>
  <si>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</si>
  <si>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</si>
  <si>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</si>
  <si>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</si>
  <si>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</si>
  <si>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</si>
  <si>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</si>
  <si>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</si>
  <si>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</si>
  <si>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</si>
  <si>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</si>
  <si>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</si>
  <si>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</si>
  <si>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</si>
  <si>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</si>
  <si>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</si>
  <si>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</si>
  <si>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</si>
  <si>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</si>
  <si>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</si>
  <si>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</si>
  <si>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</si>
  <si>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</si>
  <si>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</si>
  <si>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</si>
  <si>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</si>
  <si>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</si>
  <si>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</si>
  <si>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</si>
  <si>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</si>
  <si>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</si>
  <si>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</si>
  <si>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</si>
  <si>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</si>
  <si>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</si>
  <si>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</si>
  <si>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</si>
  <si>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</si>
  <si>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</si>
  <si>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</si>
  <si>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</si>
  <si>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</si>
  <si>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</si>
  <si>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</si>
  <si>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</si>
  <si>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</si>
  <si>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</si>
  <si>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</si>
  <si>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</si>
  <si>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</si>
  <si>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</si>
  <si>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</si>
  <si>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</si>
  <si>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</si>
  <si>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</si>
  <si>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</si>
  <si>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</si>
  <si>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</si>
  <si>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</si>
  <si>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</si>
  <si>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</si>
  <si>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</si>
  <si>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</si>
  <si>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</si>
  <si>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</si>
  <si>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</si>
  <si>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</si>
  <si>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</si>
  <si>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</si>
  <si>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</si>
  <si>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</si>
  <si>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</si>
  <si>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</si>
  <si>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</si>
  <si>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</si>
  <si>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</si>
  <si>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</si>
  <si>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</si>
  <si>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</si>
  <si>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</si>
  <si>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</si>
  <si>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</si>
  <si>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</si>
  <si>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</si>
  <si>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</si>
  <si>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</si>
  <si>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</si>
  <si>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</si>
  <si>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</si>
  <si>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</si>
  <si>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</si>
  <si>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</si>
  <si>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</si>
  <si>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</si>
  <si>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</si>
  <si>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</si>
  <si>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</si>
  <si>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</si>
  <si>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</si>
  <si>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</si>
  <si>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</si>
  <si>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</si>
  <si>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</si>
  <si>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</si>
  <si>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</si>
  <si>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</si>
  <si>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</si>
  <si>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</si>
  <si>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</si>
  <si>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</si>
  <si>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</si>
  <si>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</si>
  <si>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</si>
  <si>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</si>
  <si>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</si>
  <si>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</si>
  <si>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</si>
  <si>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</si>
  <si>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</si>
  <si>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</si>
  <si>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</si>
  <si>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</si>
  <si>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</si>
  <si>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</si>
  <si>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</si>
  <si>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</si>
  <si>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</si>
  <si>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</si>
  <si>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</si>
  <si>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</si>
  <si>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</si>
  <si>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</si>
  <si>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</si>
  <si>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</si>
  <si>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</si>
  <si>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</si>
  <si>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</si>
  <si>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</si>
  <si>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</si>
  <si>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</si>
  <si>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</si>
  <si>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</si>
  <si>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</si>
  <si>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</si>
  <si>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</si>
  <si>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</si>
  <si>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</si>
  <si>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</si>
  <si>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</si>
  <si>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</si>
  <si>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</si>
  <si>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</si>
  <si>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</si>
  <si>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</si>
  <si>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</si>
  <si>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</si>
  <si>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</si>
  <si>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</si>
  <si>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</si>
  <si>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</si>
  <si>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</si>
  <si>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</si>
  <si>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</si>
  <si>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</si>
  <si>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</si>
  <si>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</si>
  <si>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</si>
  <si>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</si>
  <si>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</si>
  <si>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</si>
  <si>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</si>
  <si>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</si>
  <si>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</si>
  <si>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</si>
  <si>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</si>
  <si>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</si>
  <si>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</si>
  <si>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</si>
  <si>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</si>
  <si>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</si>
  <si>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</si>
  <si>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</si>
  <si>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</si>
  <si>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</si>
  <si>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</si>
  <si>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</si>
  <si>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</si>
  <si>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</si>
  <si>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</si>
  <si>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</si>
  <si>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</si>
  <si>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</si>
  <si>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</si>
  <si>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</si>
  <si>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</si>
  <si>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</si>
  <si>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</si>
  <si>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</si>
  <si>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</si>
  <si>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</si>
  <si>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</si>
  <si>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</si>
  <si>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</si>
  <si>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</si>
  <si>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</si>
  <si>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</si>
  <si>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</si>
  <si>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</si>
  <si>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</si>
  <si>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</si>
  <si>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</si>
  <si>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</si>
  <si>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</si>
  <si>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</si>
  <si>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</si>
  <si>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</si>
  <si>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</si>
  <si>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</si>
  <si>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</si>
  <si>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</si>
  <si>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</si>
  <si>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</si>
  <si>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</si>
  <si>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</si>
  <si>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</si>
  <si>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</si>
  <si>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</si>
  <si>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</si>
  <si>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</si>
  <si>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</si>
  <si>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</si>
  <si>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</si>
  <si>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</si>
  <si>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</si>
  <si>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</si>
  <si>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</si>
  <si>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</si>
  <si>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</si>
  <si>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</si>
  <si>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</si>
  <si>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</si>
  <si>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</si>
  <si>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</si>
  <si>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</si>
  <si>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</si>
  <si>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</si>
  <si>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</si>
  <si>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</si>
  <si>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</si>
  <si>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</si>
  <si>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</si>
  <si>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</si>
  <si>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</si>
  <si>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</si>
  <si>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</si>
  <si>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</si>
  <si>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</si>
  <si>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</si>
  <si>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</si>
  <si>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</si>
  <si>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</si>
  <si>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</si>
  <si>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</si>
  <si>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</si>
  <si>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</si>
  <si>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</si>
  <si>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</si>
  <si>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</si>
  <si>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</si>
  <si>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</si>
  <si>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</si>
  <si>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</si>
  <si>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</si>
  <si>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</si>
  <si>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</si>
  <si>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</si>
  <si>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</si>
  <si>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</si>
  <si>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</si>
  <si>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</si>
  <si>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</si>
  <si>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</si>
  <si>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</si>
  <si>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</si>
  <si>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</si>
  <si>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</si>
  <si>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</si>
  <si>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</si>
  <si>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</si>
  <si>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</si>
  <si>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</si>
  <si>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</si>
  <si>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</si>
  <si>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</si>
  <si>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</si>
  <si>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</si>
  <si>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</si>
  <si>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</si>
  <si>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</si>
  <si>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</si>
  <si>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</si>
  <si>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</si>
  <si>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</si>
  <si>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</si>
  <si>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</si>
  <si>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</si>
  <si>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</si>
  <si>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</si>
  <si>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</si>
  <si>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</si>
  <si>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</si>
  <si>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</si>
  <si>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</si>
  <si>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</si>
  <si>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</si>
  <si>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</si>
  <si>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</si>
  <si>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</si>
  <si>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</si>
  <si>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</si>
  <si>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</si>
  <si>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</si>
  <si>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</si>
  <si>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</si>
  <si>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</si>
  <si>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</si>
  <si>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</si>
  <si>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</si>
  <si>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</si>
  <si>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</si>
  <si>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</si>
  <si>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</si>
  <si>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</si>
  <si>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</si>
  <si>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</si>
  <si>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</si>
  <si>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</si>
  <si>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</si>
  <si>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</si>
  <si>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</si>
  <si>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</si>
  <si>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</si>
  <si>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</si>
  <si>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</si>
  <si>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</si>
  <si>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</si>
  <si>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</si>
  <si>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</si>
  <si>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</si>
  <si>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</si>
  <si>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</si>
  <si>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</si>
  <si>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</si>
  <si>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</si>
  <si>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</si>
  <si>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</si>
  <si>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</si>
  <si>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</si>
  <si>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</si>
  <si>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</si>
  <si>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</si>
  <si>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</si>
  <si>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</si>
  <si>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</si>
  <si>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</si>
  <si>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</si>
  <si>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</si>
  <si>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</si>
  <si>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</si>
  <si>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</si>
  <si>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</si>
  <si>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</si>
  <si>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</si>
  <si>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</si>
  <si>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</si>
  <si>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</si>
  <si>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</si>
  <si>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</si>
  <si>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</si>
  <si>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</si>
  <si>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</si>
  <si>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</si>
  <si>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</si>
  <si>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</si>
  <si>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</si>
  <si>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</si>
  <si>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</si>
  <si>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</si>
  <si>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</si>
  <si>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</si>
  <si>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</si>
  <si>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</si>
  <si>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</si>
  <si>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</si>
  <si>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</si>
  <si>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</si>
  <si>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</si>
  <si>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</si>
  <si>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</si>
  <si>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</si>
  <si>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</si>
  <si>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</si>
  <si>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</si>
  <si>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</si>
  <si>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</si>
  <si>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</si>
  <si>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</si>
  <si>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</si>
  <si>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</si>
  <si>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</si>
  <si>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</si>
  <si>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</si>
  <si>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</si>
  <si>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</si>
  <si>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</si>
  <si>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</si>
  <si>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</si>
  <si>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</si>
  <si>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</si>
  <si>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</si>
  <si>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</si>
  <si>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</si>
  <si>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</si>
  <si>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</si>
  <si>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</si>
  <si>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</si>
  <si>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</si>
  <si>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</si>
  <si>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</si>
  <si>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</si>
  <si>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</si>
  <si>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</si>
  <si>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</si>
  <si>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</si>
  <si>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</si>
  <si>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</si>
  <si>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</si>
  <si>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</si>
  <si>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</si>
  <si>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</si>
  <si>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</si>
  <si>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</si>
  <si>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</si>
  <si>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</si>
  <si>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</si>
  <si>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</si>
  <si>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</si>
  <si>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</si>
  <si>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</si>
  <si>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</si>
  <si>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</si>
  <si>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</si>
  <si>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</si>
  <si>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</si>
  <si>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</si>
  <si>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</si>
  <si>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</si>
  <si>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</si>
  <si>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</si>
  <si>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</si>
  <si>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</si>
  <si>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</si>
  <si>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</si>
  <si>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</si>
  <si>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</si>
  <si>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</si>
  <si>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</si>
  <si>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</si>
  <si>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</si>
  <si>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</si>
  <si>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</si>
  <si>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</si>
  <si>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</si>
  <si>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</si>
  <si>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</si>
  <si>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</si>
  <si>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</si>
  <si>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</si>
  <si>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</si>
  <si>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</si>
  <si>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</si>
  <si>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</si>
  <si>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</si>
  <si>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</si>
  <si>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</si>
  <si>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</si>
  <si>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</si>
  <si>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</si>
  <si>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</si>
  <si>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</si>
  <si>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</si>
  <si>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</si>
  <si>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</si>
  <si>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</si>
  <si>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</si>
  <si>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</si>
  <si>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</si>
  <si>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</si>
  <si>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</si>
  <si>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</si>
  <si>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</si>
  <si>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</si>
  <si>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</si>
  <si>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</si>
  <si>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</si>
  <si>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</si>
  <si>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</si>
  <si>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</si>
  <si>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</si>
  <si>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</si>
  <si>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</si>
  <si>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</si>
  <si>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</si>
  <si>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</si>
  <si>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</si>
  <si>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</si>
  <si>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</si>
  <si>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</si>
  <si>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</si>
  <si>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</si>
  <si>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</si>
  <si>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</si>
  <si>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</si>
  <si>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</si>
  <si>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</si>
  <si>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</si>
  <si>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</si>
  <si>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</si>
  <si>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</si>
  <si>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</si>
  <si>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</si>
  <si>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</si>
  <si>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</si>
  <si>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</si>
  <si>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</si>
  <si>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</si>
  <si>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</si>
  <si>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</si>
  <si>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</si>
  <si>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</si>
  <si>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</si>
  <si>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</si>
  <si>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</si>
  <si>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</si>
  <si>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</si>
  <si>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</si>
  <si>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</si>
  <si>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</si>
  <si>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</si>
  <si>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</si>
  <si>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</si>
  <si>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</si>
  <si>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</si>
  <si>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</si>
  <si>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</si>
  <si>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</si>
  <si>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</si>
  <si>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</si>
  <si>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</si>
  <si>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</si>
  <si>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</si>
  <si>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</si>
  <si>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</si>
  <si>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</si>
  <si>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</si>
  <si>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</si>
  <si>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</si>
  <si>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</si>
  <si>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</si>
  <si>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</si>
  <si>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</si>
  <si>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</si>
  <si>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</si>
  <si>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</si>
  <si>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</si>
  <si>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</si>
  <si>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</si>
  <si>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</si>
  <si>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</si>
  <si>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</si>
  <si>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</si>
  <si>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</si>
  <si>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</si>
  <si>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</si>
  <si>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</si>
  <si>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</si>
  <si>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</si>
  <si>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</si>
  <si>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</si>
  <si>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</si>
  <si>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</si>
  <si>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</si>
  <si>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</si>
  <si>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</si>
  <si>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</si>
  <si>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</si>
  <si>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</si>
  <si>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</si>
  <si>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</si>
  <si>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</si>
  <si>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</si>
  <si>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</si>
  <si>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</si>
  <si>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</si>
  <si>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</si>
  <si>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</si>
  <si>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</si>
  <si>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</si>
  <si>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</si>
  <si>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</si>
  <si>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</si>
  <si>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</si>
  <si>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</si>
  <si>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</si>
  <si>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</si>
  <si>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</si>
  <si>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</si>
  <si>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</si>
  <si>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</si>
  <si>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</si>
  <si>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</si>
  <si>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</si>
  <si>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</si>
  <si>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</si>
  <si>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</si>
  <si>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</si>
  <si>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</si>
  <si>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</si>
  <si>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</si>
  <si>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</si>
  <si>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</si>
  <si>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</si>
  <si>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</si>
  <si>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</si>
  <si>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</si>
  <si>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</si>
  <si>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</si>
  <si>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</si>
  <si>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</si>
  <si>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</si>
  <si>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</si>
  <si>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</si>
  <si>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</si>
  <si>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</si>
  <si>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</si>
  <si>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</si>
  <si>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</si>
  <si>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</si>
  <si>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</si>
  <si>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</si>
  <si>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</si>
  <si>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</si>
  <si>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</si>
  <si>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</si>
  <si>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</si>
  <si>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</si>
  <si>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</si>
  <si>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</si>
  <si>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</si>
  <si>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</si>
  <si>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</si>
  <si>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</si>
  <si>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</si>
  <si>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</si>
  <si>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</si>
  <si>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</si>
  <si>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</si>
  <si>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</si>
  <si>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</si>
  <si>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</si>
  <si>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</si>
  <si>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</si>
  <si>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</si>
  <si>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</si>
  <si>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</si>
  <si>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</si>
  <si>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</si>
  <si>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</si>
  <si>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</si>
  <si>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</si>
  <si>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</si>
  <si>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</si>
  <si>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</si>
  <si>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</si>
  <si>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</si>
  <si>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</si>
  <si>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</si>
  <si>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</si>
  <si>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</si>
  <si>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</si>
  <si>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</si>
  <si>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</si>
  <si>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</si>
  <si>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</si>
  <si>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</si>
  <si>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</si>
  <si>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</si>
  <si>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</si>
  <si>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</si>
  <si>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</si>
  <si>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</si>
  <si>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</si>
  <si>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</si>
  <si>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</si>
  <si>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</si>
  <si>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</si>
  <si>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</si>
  <si>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</si>
  <si>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</si>
  <si>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</si>
  <si>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</si>
  <si>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</si>
  <si>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</si>
  <si>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</si>
  <si>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</si>
  <si>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</si>
  <si>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</si>
  <si>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</si>
  <si>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</si>
  <si>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</si>
  <si>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</si>
  <si>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</si>
  <si>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</si>
  <si>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</si>
  <si>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</si>
  <si>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</si>
  <si>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</si>
  <si>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</si>
  <si>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</si>
  <si>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</si>
  <si>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</si>
  <si>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</si>
  <si>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</si>
  <si>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</si>
  <si>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</si>
  <si>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</si>
  <si>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</si>
  <si>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</si>
  <si>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</si>
  <si>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</si>
  <si>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</si>
  <si>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</si>
  <si>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</si>
  <si>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</si>
  <si>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</si>
  <si>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</si>
  <si>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</si>
  <si>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</si>
  <si>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</si>
  <si>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</si>
  <si>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</si>
  <si>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</si>
  <si>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</si>
  <si>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</si>
  <si>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</si>
  <si>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</si>
  <si>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</si>
  <si>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</si>
  <si>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</si>
  <si>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</si>
  <si>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</si>
  <si>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</si>
  <si>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</si>
  <si>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</si>
  <si>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</si>
  <si>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</si>
  <si>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</si>
  <si>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</si>
  <si>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</si>
  <si>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</si>
  <si>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</si>
  <si>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</si>
  <si>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</si>
  <si>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</si>
  <si>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</si>
  <si>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</si>
  <si>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</si>
  <si>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</si>
  <si>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</si>
  <si>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</si>
  <si>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</si>
  <si>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</si>
  <si>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</si>
  <si>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</si>
  <si>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</si>
  <si>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</si>
  <si>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</si>
  <si>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</si>
  <si>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</si>
  <si>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</si>
  <si>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</si>
  <si>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</si>
  <si>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</si>
  <si>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</si>
  <si>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</si>
  <si>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</si>
  <si>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</si>
  <si>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</si>
  <si>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</si>
  <si>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</si>
  <si>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</si>
  <si>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</si>
  <si>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</si>
  <si>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</si>
  <si>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</si>
  <si>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</si>
  <si>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</si>
  <si>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</si>
  <si>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</si>
  <si>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</si>
  <si>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</si>
  <si>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</si>
  <si>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</si>
  <si>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</si>
  <si>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</si>
  <si>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</si>
  <si>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</si>
  <si>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</si>
  <si>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</si>
  <si>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</si>
  <si>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</si>
  <si>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</si>
  <si>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</si>
  <si>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</si>
  <si>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</si>
  <si>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</si>
  <si>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</si>
  <si>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</si>
  <si>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</si>
  <si>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</si>
  <si>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</si>
  <si>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</si>
  <si>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</si>
  <si>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</si>
  <si>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</si>
  <si>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</si>
  <si>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</si>
  <si>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</si>
  <si>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</si>
  <si>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</si>
  <si>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</si>
  <si>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</si>
  <si>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</si>
  <si>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</si>
  <si>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</si>
  <si>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</si>
  <si>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</si>
  <si>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</si>
  <si>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</si>
  <si>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</si>
  <si>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</si>
  <si>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</si>
  <si>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</si>
  <si>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</si>
  <si>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</si>
  <si>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</si>
  <si>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</si>
  <si>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</si>
  <si>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</si>
  <si>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</si>
  <si>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</si>
  <si>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</si>
  <si>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</si>
  <si>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</si>
  <si>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</si>
  <si>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</si>
  <si>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</si>
  <si>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</si>
  <si>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</si>
  <si>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</si>
  <si>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</si>
  <si>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</si>
  <si>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</si>
  <si>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</si>
  <si>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</si>
  <si>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</si>
  <si>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</si>
  <si>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</si>
  <si>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</si>
  <si>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</si>
  <si>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</si>
  <si>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</si>
  <si>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</si>
  <si>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</si>
  <si>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</si>
  <si>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</si>
  <si>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</si>
  <si>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</si>
  <si>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</si>
  <si>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</si>
  <si>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</si>
  <si>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</si>
  <si>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</si>
  <si>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</si>
  <si>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</si>
  <si>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</si>
  <si>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</si>
  <si>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</si>
  <si>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</si>
  <si>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</si>
  <si>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</si>
  <si>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</si>
  <si>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</si>
  <si>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</si>
  <si>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</si>
  <si>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</si>
  <si>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</si>
  <si>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</si>
  <si>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</si>
  <si>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</si>
  <si>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</si>
  <si>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</si>
  <si>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</si>
  <si>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</si>
  <si>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</si>
  <si>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</si>
  <si>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</si>
  <si>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</si>
  <si>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</si>
  <si>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</si>
  <si>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</si>
  <si>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</si>
  <si>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</si>
  <si>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</si>
  <si>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</si>
  <si>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</si>
  <si>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</si>
  <si>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</si>
  <si>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</si>
  <si>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</si>
  <si>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</si>
  <si>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</si>
  <si>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</si>
  <si>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</si>
  <si>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</si>
  <si>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</si>
  <si>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</si>
  <si>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</si>
  <si>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</si>
  <si>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</si>
  <si>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</si>
  <si>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</si>
  <si>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</si>
  <si>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</si>
  <si>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</si>
  <si>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</si>
  <si>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</si>
  <si>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</si>
  <si>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</si>
  <si>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</si>
  <si>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</si>
  <si>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</si>
  <si>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</si>
  <si>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</si>
  <si>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</si>
  <si>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</si>
  <si>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</si>
  <si>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</si>
  <si>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</si>
  <si>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</si>
  <si>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</si>
  <si>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</si>
  <si>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</si>
  <si>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</si>
  <si>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</si>
  <si>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</si>
  <si>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</si>
  <si>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</si>
  <si>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</si>
  <si>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</si>
  <si>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</si>
  <si>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</si>
  <si>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</si>
  <si>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</si>
  <si>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</si>
  <si>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</si>
  <si>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</si>
  <si>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</si>
  <si>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</si>
  <si>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</si>
  <si>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</si>
  <si>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</si>
  <si>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</si>
  <si>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</si>
  <si>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</si>
  <si>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</si>
  <si>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</si>
  <si>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</si>
  <si>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</si>
  <si>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</si>
  <si>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</si>
  <si>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</si>
  <si>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</si>
  <si>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</si>
  <si>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</si>
  <si>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</si>
  <si>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</si>
  <si>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</si>
  <si>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</si>
  <si>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</si>
  <si>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</si>
  <si>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</si>
  <si>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</si>
  <si>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</si>
  <si>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</si>
  <si>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</si>
  <si>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</si>
  <si>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</si>
  <si>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</si>
  <si>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</si>
  <si>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</si>
  <si>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</si>
  <si>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</si>
  <si>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</si>
  <si>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</si>
  <si>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</si>
  <si>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</si>
  <si>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</si>
  <si>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</si>
  <si>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</si>
  <si>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</si>
  <si>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</si>
  <si>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</si>
  <si>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</si>
  <si>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</si>
  <si>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</si>
  <si>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</si>
  <si>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</si>
  <si>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</si>
  <si>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</si>
  <si>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</si>
  <si>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</si>
  <si>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</si>
  <si>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</si>
  <si>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</si>
  <si>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</si>
  <si>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</si>
  <si>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</si>
  <si>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</si>
  <si>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</si>
  <si>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</si>
  <si>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</si>
  <si>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</si>
  <si>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</si>
  <si>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</si>
  <si>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</si>
  <si>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</si>
  <si>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</si>
  <si>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</si>
  <si>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</si>
  <si>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</si>
  <si>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</si>
  <si>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</si>
  <si>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</si>
  <si>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</si>
  <si>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</si>
  <si>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</si>
  <si>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</si>
  <si>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</si>
  <si>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</si>
  <si>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</si>
  <si>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</si>
  <si>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</si>
  <si>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</si>
  <si>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</si>
  <si>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</si>
  <si>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</si>
  <si>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</si>
  <si>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</si>
  <si>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</si>
  <si>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</si>
  <si>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</si>
  <si>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</si>
  <si>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</si>
  <si>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</si>
  <si>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</si>
  <si>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</si>
  <si>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</si>
  <si>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</si>
  <si>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</si>
  <si>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</si>
  <si>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</si>
  <si>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</si>
  <si>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</si>
  <si>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</si>
  <si>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</si>
  <si>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</si>
  <si>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</si>
  <si>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</si>
  <si>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</si>
  <si>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</si>
  <si>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</si>
  <si>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</si>
  <si>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</si>
  <si>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</si>
  <si>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</si>
  <si>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</si>
  <si>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</si>
  <si>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</si>
  <si>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</si>
  <si>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</si>
  <si>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</si>
  <si>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</si>
  <si>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</si>
  <si>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</si>
  <si>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</si>
  <si>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</si>
  <si>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</si>
  <si>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</si>
  <si>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</si>
  <si>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</si>
  <si>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</si>
  <si>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</si>
  <si>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</si>
  <si>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</si>
  <si>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</si>
  <si>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</si>
  <si>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</si>
  <si>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</si>
  <si>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</si>
  <si>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</si>
  <si>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</si>
  <si>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</si>
  <si>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</si>
  <si>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</si>
  <si>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</si>
  <si>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</si>
  <si>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</si>
  <si>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</si>
  <si>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</si>
  <si>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</si>
  <si>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</si>
  <si>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</si>
  <si>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</si>
  <si>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</si>
  <si>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</si>
  <si>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</si>
  <si>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</si>
  <si>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</si>
  <si>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</si>
  <si>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</si>
  <si>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</si>
  <si>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</si>
  <si>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</si>
  <si>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</si>
  <si>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</si>
  <si>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</si>
  <si>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</si>
  <si>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</si>
  <si>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</si>
  <si>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</si>
  <si>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</si>
  <si>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</si>
  <si>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</si>
  <si>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</si>
  <si>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</si>
  <si>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</si>
  <si>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</si>
  <si>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</si>
  <si>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</si>
  <si>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</si>
  <si>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</si>
  <si>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</si>
  <si>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</si>
  <si>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</si>
  <si>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</si>
  <si>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</si>
  <si>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</si>
  <si>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</si>
  <si>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</si>
  <si>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</si>
  <si>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</si>
  <si>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</si>
  <si>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</si>
  <si>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</si>
  <si>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</si>
  <si>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</si>
  <si>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</si>
  <si>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</si>
  <si>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</si>
  <si>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</si>
  <si>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</si>
  <si>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</si>
  <si>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</si>
  <si>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</si>
  <si>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</si>
  <si>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</si>
  <si>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</si>
  <si>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</si>
  <si>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</si>
  <si>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</si>
  <si>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</si>
  <si>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</si>
  <si>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</si>
  <si>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</si>
  <si>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</si>
  <si>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</si>
  <si>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</si>
  <si>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</si>
  <si>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</si>
  <si>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</si>
  <si>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</si>
  <si>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</si>
  <si>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</si>
  <si>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</si>
  <si>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</si>
  <si>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</si>
  <si>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</si>
  <si>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</si>
  <si>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</si>
  <si>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</si>
  <si>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</si>
  <si>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</si>
  <si>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</si>
  <si>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</si>
  <si>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</si>
  <si>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</si>
  <si>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</si>
  <si>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</si>
  <si>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</si>
  <si>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</si>
  <si>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</si>
  <si>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</si>
  <si>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</si>
  <si>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</si>
  <si>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</si>
  <si>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</si>
  <si>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</si>
  <si>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</si>
  <si>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</si>
  <si>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</si>
  <si>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</si>
  <si>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</si>
  <si>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</si>
  <si>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</si>
  <si>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</si>
  <si>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</si>
  <si>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</si>
  <si>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</si>
  <si>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</si>
  <si>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</si>
  <si>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</si>
  <si>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</si>
  <si>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</si>
  <si>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</si>
  <si>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</si>
  <si>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</si>
  <si>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</si>
  <si>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</si>
  <si>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</si>
  <si>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</si>
  <si>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</si>
  <si>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</si>
  <si>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</si>
  <si>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</si>
  <si>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</si>
  <si>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</si>
  <si>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</si>
  <si>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</si>
  <si>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</si>
  <si>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</si>
  <si>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</si>
  <si>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</si>
  <si>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</si>
  <si>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</si>
  <si>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</si>
  <si>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</si>
  <si>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</si>
  <si>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</si>
  <si>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</si>
  <si>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</si>
  <si>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</si>
  <si>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</si>
  <si>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</si>
  <si>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</si>
  <si>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</si>
  <si>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</si>
  <si>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</si>
  <si>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</si>
  <si>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</si>
  <si>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</si>
  <si>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</si>
  <si>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</si>
  <si>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</si>
  <si>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</si>
  <si>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</si>
  <si>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</si>
  <si>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</si>
  <si>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</si>
  <si>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</si>
  <si>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</si>
  <si>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</si>
  <si>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</si>
  <si>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</si>
  <si>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</si>
  <si>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</si>
  <si>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</si>
  <si>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</si>
  <si>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</si>
  <si>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</si>
  <si>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</si>
  <si>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</si>
  <si>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</si>
  <si>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</si>
  <si>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</si>
  <si>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</si>
  <si>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</si>
  <si>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</si>
  <si>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</si>
  <si>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</si>
  <si>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</si>
  <si>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</si>
  <si>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</si>
  <si>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</si>
  <si>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</si>
  <si>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</si>
  <si>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</si>
  <si>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</si>
  <si>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</si>
  <si>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</si>
  <si>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</si>
  <si>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</si>
  <si>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</si>
  <si>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</si>
  <si>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</si>
  <si>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</si>
  <si>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</si>
  <si>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</si>
  <si>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</si>
  <si>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</si>
  <si>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</si>
  <si>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</si>
  <si>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</si>
  <si>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</si>
  <si>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</si>
  <si>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</si>
  <si>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</si>
  <si>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</si>
  <si>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</si>
  <si>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</si>
  <si>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</si>
  <si>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</si>
  <si>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</si>
  <si>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</si>
  <si>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</si>
  <si>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</si>
  <si>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</si>
  <si>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</si>
  <si>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</si>
  <si>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</si>
  <si>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</si>
  <si>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</si>
  <si>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</si>
  <si>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</si>
  <si>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</si>
  <si>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</si>
  <si>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</si>
  <si>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</si>
  <si>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</si>
  <si>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</si>
  <si>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</si>
  <si>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</si>
  <si>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</si>
  <si>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</si>
  <si>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</si>
  <si>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</si>
  <si>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</si>
  <si>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</si>
  <si>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</si>
  <si>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</si>
  <si>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</si>
  <si>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</si>
  <si>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</si>
  <si>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</si>
  <si>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</si>
  <si>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</si>
  <si>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</si>
  <si>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</si>
  <si>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</si>
  <si>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</si>
  <si>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</si>
  <si>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</si>
  <si>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</si>
  <si>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</si>
  <si>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</si>
  <si>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</si>
  <si>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</si>
  <si>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</si>
  <si>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</si>
  <si>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</si>
  <si>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</si>
  <si>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</si>
  <si>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</si>
  <si>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</si>
  <si>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</si>
  <si>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</si>
  <si>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</si>
  <si>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</si>
  <si>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</si>
  <si>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</si>
  <si>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</si>
  <si>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</si>
  <si>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</si>
  <si>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</si>
  <si>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</si>
  <si>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</si>
  <si>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</si>
  <si>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</si>
  <si>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</si>
  <si>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</si>
  <si>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</si>
  <si>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</si>
  <si>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</si>
  <si>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</si>
  <si>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</si>
  <si>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</si>
  <si>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</si>
  <si>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</si>
  <si>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</si>
  <si>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</si>
  <si>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</si>
  <si>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</si>
  <si>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</si>
  <si>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</si>
  <si>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</si>
  <si>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</si>
  <si>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</si>
  <si>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</si>
  <si>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</si>
  <si>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</si>
  <si>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</si>
  <si>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</si>
  <si>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</si>
  <si>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</si>
  <si>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</si>
  <si>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</si>
  <si>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</si>
  <si>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</si>
  <si>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</si>
  <si>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</si>
  <si>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</si>
  <si>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</si>
  <si>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</si>
  <si>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</si>
  <si>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</si>
  <si>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</si>
  <si>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</si>
  <si>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</si>
  <si>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</si>
  <si>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</si>
  <si>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</si>
  <si>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</si>
  <si>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</si>
  <si>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</si>
  <si>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</si>
  <si>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</si>
  <si>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</si>
  <si>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</si>
  <si>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</si>
  <si>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</si>
  <si>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</si>
  <si>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</si>
  <si>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</si>
  <si>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</si>
  <si>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</si>
  <si>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</si>
  <si>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</si>
  <si>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</si>
  <si>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</si>
  <si>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</si>
  <si>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</si>
  <si>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</si>
  <si>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</si>
  <si>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</si>
  <si>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</si>
  <si>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</si>
  <si>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</si>
  <si>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</si>
  <si>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</si>
  <si>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</si>
  <si>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</si>
  <si>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</si>
  <si>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</si>
  <si>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</si>
  <si>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</si>
  <si>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</si>
  <si>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</si>
  <si>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</si>
  <si>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</si>
  <si>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</si>
  <si>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</si>
  <si>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</si>
  <si>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</si>
  <si>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</si>
  <si>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</si>
  <si>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</si>
  <si>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</si>
  <si>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</si>
  <si>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</si>
  <si>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</si>
  <si>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</si>
  <si>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</si>
  <si>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</si>
  <si>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</si>
  <si>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</si>
  <si>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</si>
  <si>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</si>
  <si>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</si>
  <si>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</si>
  <si>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</si>
  <si>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</si>
  <si>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</si>
  <si>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</si>
  <si>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</si>
  <si>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</si>
  <si>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</si>
  <si>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</si>
  <si>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</si>
  <si>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</si>
  <si>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</si>
  <si>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</si>
  <si>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</si>
  <si>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</si>
  <si>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</si>
  <si>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</si>
  <si>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</si>
  <si>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</si>
  <si>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</si>
  <si>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</si>
  <si>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</si>
  <si>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</si>
  <si>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</si>
  <si>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</si>
  <si>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</si>
  <si>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</si>
  <si>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</si>
  <si>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</si>
  <si>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</si>
  <si>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</si>
  <si>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</si>
  <si>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</si>
  <si>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</si>
  <si>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</si>
  <si>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</si>
  <si>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</si>
  <si>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</si>
  <si>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</si>
  <si>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</si>
  <si>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</si>
  <si>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</si>
  <si>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</si>
  <si>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</si>
  <si>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</si>
  <si>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</si>
  <si>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</si>
  <si>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</si>
  <si>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</si>
  <si>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</si>
  <si>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</si>
  <si>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</si>
  <si>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</si>
  <si>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</si>
  <si>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</si>
  <si>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</si>
  <si>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</si>
  <si>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</si>
  <si>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</si>
  <si>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</si>
  <si>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</si>
  <si>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</si>
  <si>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</si>
  <si>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</si>
  <si>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</si>
  <si>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</si>
  <si>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</si>
  <si>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</si>
  <si>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</si>
  <si>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</si>
  <si>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</si>
  <si>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</si>
  <si>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</si>
  <si>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</si>
  <si>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</si>
  <si>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</si>
  <si>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</si>
  <si>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</si>
  <si>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</si>
  <si>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</si>
  <si>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</si>
  <si>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</si>
  <si>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</si>
  <si>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</si>
  <si>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</si>
  <si>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</si>
  <si>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</si>
  <si>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</si>
  <si>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</si>
  <si>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</si>
  <si>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</si>
  <si>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</si>
  <si>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</si>
  <si>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</si>
  <si>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</si>
  <si>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</si>
  <si>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</si>
  <si>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</si>
  <si>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</si>
  <si>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</si>
  <si>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</si>
  <si>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</si>
  <si>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</si>
  <si>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</si>
  <si>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</si>
  <si>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</si>
  <si>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</si>
  <si>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</si>
  <si>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</si>
  <si>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</si>
  <si>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</si>
  <si>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</si>
  <si>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</si>
  <si>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</si>
  <si>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</si>
  <si>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</si>
  <si>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</si>
  <si>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</si>
  <si>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</si>
  <si>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</si>
  <si>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</si>
  <si>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</si>
  <si>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</si>
  <si>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</si>
  <si>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</si>
  <si>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</si>
  <si>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</si>
  <si>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</si>
  <si>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</si>
  <si>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</si>
  <si>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</si>
  <si>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</si>
  <si>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</si>
  <si>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</si>
  <si>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</si>
  <si>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</si>
  <si>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</si>
  <si>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</si>
  <si>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</si>
  <si>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</si>
  <si>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</si>
  <si>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</si>
  <si>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</si>
  <si>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</si>
  <si>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</si>
  <si>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</si>
  <si>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</si>
  <si>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</si>
  <si>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</si>
  <si>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</si>
  <si>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</si>
  <si>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</si>
  <si>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</si>
  <si>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</si>
  <si>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</si>
  <si>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</si>
  <si>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</si>
  <si>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</si>
  <si>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</si>
  <si>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</si>
  <si>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</si>
  <si>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</si>
  <si>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</si>
  <si>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</si>
  <si>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</si>
  <si>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</si>
  <si>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</si>
  <si>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</si>
  <si>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</si>
  <si>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</si>
  <si>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</si>
  <si>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</si>
  <si>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</si>
  <si>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</si>
  <si>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</si>
  <si>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</si>
  <si>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</si>
  <si>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</si>
  <si>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</si>
  <si>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</si>
  <si>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</si>
  <si>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</si>
  <si>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</si>
  <si>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</si>
  <si>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</si>
  <si>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</si>
  <si>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</si>
  <si>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</si>
  <si>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</si>
  <si>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</si>
  <si>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</si>
  <si>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</si>
  <si>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</si>
  <si>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</si>
  <si>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</si>
  <si>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</si>
  <si>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</si>
  <si>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</si>
  <si>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</si>
  <si>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</si>
  <si>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</si>
  <si>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</si>
  <si>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</si>
  <si>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</si>
  <si>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</si>
  <si>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</si>
  <si>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</si>
  <si>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</si>
  <si>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</si>
  <si>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</si>
  <si>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</si>
  <si>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</si>
  <si>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</si>
  <si>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</si>
  <si>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</si>
  <si>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</si>
  <si>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</si>
  <si>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</si>
  <si>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</si>
  <si>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</si>
  <si>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</si>
  <si>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</si>
  <si>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</si>
  <si>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</si>
  <si>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</si>
  <si>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</si>
  <si>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</si>
  <si>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</si>
  <si>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</si>
  <si>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</si>
  <si>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</si>
  <si>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</si>
  <si>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</si>
  <si>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</si>
  <si>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</si>
  <si>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</si>
  <si>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</si>
  <si>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</si>
  <si>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</si>
  <si>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</si>
  <si>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</si>
  <si>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</si>
  <si>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</si>
  <si>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</si>
  <si>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</si>
  <si>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</si>
  <si>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</si>
  <si>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</si>
  <si>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</si>
  <si>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</si>
  <si>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</si>
  <si>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</si>
  <si>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</si>
  <si>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</si>
  <si>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</si>
  <si>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</si>
  <si>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</si>
  <si>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</si>
  <si>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</si>
  <si>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</si>
  <si>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</si>
  <si>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</si>
  <si>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</si>
  <si>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</si>
  <si>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</si>
  <si>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</si>
  <si>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</si>
  <si>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</si>
  <si>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</si>
  <si>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</si>
  <si>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</si>
  <si>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</si>
  <si>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</si>
  <si>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</si>
  <si>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</si>
  <si>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</si>
  <si>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</si>
  <si>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</si>
  <si>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</si>
  <si>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</si>
  <si>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</si>
  <si>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</si>
  <si>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</si>
  <si>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</si>
  <si>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</si>
  <si>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</si>
  <si>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</si>
  <si>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</si>
  <si>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</si>
  <si>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</si>
  <si>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</si>
  <si>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</si>
  <si>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</si>
  <si>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</si>
  <si>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</si>
  <si>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</si>
  <si>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</si>
  <si>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</si>
  <si>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</si>
  <si>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</si>
  <si>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</si>
  <si>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</si>
  <si>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</si>
  <si>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</si>
  <si>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</si>
  <si>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</si>
  <si>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</si>
  <si>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</si>
  <si>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</si>
  <si>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</si>
  <si>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</si>
  <si>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</si>
  <si>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</si>
  <si>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</si>
  <si>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</si>
  <si>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</si>
  <si>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</si>
  <si>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</si>
  <si>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</si>
  <si>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</si>
  <si>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</si>
  <si>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</si>
  <si>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</si>
  <si>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</si>
  <si>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</si>
  <si>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</si>
  <si>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</si>
  <si>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</si>
  <si>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</si>
  <si>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</si>
  <si>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</si>
  <si>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</si>
  <si>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</si>
  <si>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</si>
  <si>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</si>
  <si>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</si>
  <si>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</si>
  <si>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</si>
  <si>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</si>
  <si>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</si>
  <si>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</si>
  <si>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</si>
  <si>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</si>
  <si>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</si>
  <si>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</si>
  <si>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</si>
  <si>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</si>
  <si>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</si>
  <si>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</si>
  <si>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</si>
  <si>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</si>
  <si>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</si>
  <si>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</si>
  <si>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</si>
  <si>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</si>
  <si>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</si>
  <si>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</si>
  <si>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</si>
  <si>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</si>
  <si>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</si>
  <si>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</si>
  <si>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</si>
  <si>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</si>
  <si>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</si>
  <si>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</si>
  <si>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</si>
  <si>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</si>
  <si>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</si>
  <si>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</si>
  <si>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</si>
  <si>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</si>
  <si>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</si>
  <si>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</si>
  <si>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</si>
  <si>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</si>
  <si>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</si>
  <si>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</si>
  <si>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</si>
  <si>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</si>
  <si>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</si>
  <si>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</si>
  <si>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</si>
  <si>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</si>
  <si>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</si>
  <si>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</si>
  <si>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</si>
  <si>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</si>
  <si>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</si>
  <si>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</si>
  <si>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</si>
  <si>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</si>
  <si>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</si>
  <si>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</si>
  <si>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</si>
  <si>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</si>
  <si>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</si>
  <si>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</si>
  <si>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</si>
  <si>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</si>
  <si>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</si>
  <si>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</si>
  <si>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</si>
  <si>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</si>
  <si>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</si>
  <si>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</si>
  <si>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</si>
  <si>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</si>
  <si>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</si>
  <si>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</si>
  <si>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</si>
  <si>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</si>
  <si>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</si>
  <si>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</si>
  <si>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</si>
  <si>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</si>
  <si>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</si>
  <si>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</si>
  <si>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</si>
  <si>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</si>
  <si>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</si>
  <si>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</si>
  <si>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</si>
  <si>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</si>
  <si>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</si>
  <si>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</si>
  <si>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</si>
  <si>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</si>
  <si>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</si>
  <si>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</si>
  <si>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</si>
  <si>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</si>
  <si>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</si>
  <si>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</si>
  <si>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</si>
  <si>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</si>
  <si>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</si>
  <si>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</si>
  <si>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</si>
  <si>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</si>
  <si>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</si>
  <si>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</si>
  <si>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</si>
  <si>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</si>
  <si>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</si>
  <si>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</si>
  <si>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</si>
  <si>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</si>
  <si>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</si>
  <si>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</si>
  <si>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</si>
  <si>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</si>
  <si>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</si>
  <si>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</si>
  <si>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</si>
  <si>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</si>
  <si>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</si>
  <si>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</si>
  <si>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</si>
  <si>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</si>
  <si>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</si>
  <si>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</si>
  <si>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</si>
  <si>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</si>
  <si>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</si>
  <si>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</si>
  <si>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</si>
  <si>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</si>
  <si>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</si>
  <si>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</si>
  <si>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</si>
  <si>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</si>
  <si>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</si>
  <si>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</si>
  <si>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</si>
  <si>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</si>
  <si>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</si>
  <si>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</si>
  <si>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</si>
  <si>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</si>
  <si>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</si>
  <si>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</si>
  <si>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</si>
  <si>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</si>
  <si>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</si>
  <si>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</si>
  <si>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</si>
  <si>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</si>
  <si>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</si>
  <si>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</si>
  <si>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</si>
  <si>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</si>
  <si>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</si>
  <si>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</si>
  <si>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</si>
  <si>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</si>
  <si>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</si>
  <si>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</si>
  <si>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</si>
  <si>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</si>
  <si>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</si>
  <si>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</si>
  <si>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</si>
  <si>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</si>
  <si>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</si>
  <si>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</si>
  <si>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</si>
  <si>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</si>
  <si>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</si>
  <si>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</si>
  <si>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</si>
  <si>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</si>
  <si>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</si>
  <si>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</si>
  <si>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</si>
  <si>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</si>
  <si>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</si>
  <si>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</si>
  <si>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</si>
  <si>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</si>
  <si>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</si>
  <si>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</si>
  <si>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</si>
  <si>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</si>
  <si>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</si>
  <si>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</si>
  <si>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</si>
  <si>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</si>
  <si>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</si>
  <si>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</si>
  <si>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</si>
  <si>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</si>
  <si>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</si>
  <si>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</si>
  <si>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</si>
  <si>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</si>
  <si>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</si>
  <si>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</si>
  <si>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</si>
  <si>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</si>
  <si>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</si>
  <si>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</si>
  <si>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</si>
  <si>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</si>
  <si>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</si>
  <si>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</si>
  <si>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</si>
  <si>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</si>
  <si>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</si>
  <si>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</si>
  <si>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</si>
  <si>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</si>
  <si>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</si>
  <si>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</si>
  <si>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</si>
  <si>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</si>
  <si>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</si>
  <si>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</si>
  <si>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</si>
  <si>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</si>
  <si>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</si>
  <si>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</si>
  <si>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</si>
  <si>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</si>
  <si>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</si>
  <si>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</si>
  <si>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</si>
  <si>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</si>
  <si>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</si>
  <si>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</si>
  <si>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</si>
  <si>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</si>
  <si>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</si>
  <si>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</si>
  <si>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</si>
  <si>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</si>
  <si>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</si>
  <si>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</si>
  <si>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</si>
  <si>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</si>
  <si>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</si>
  <si>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</si>
  <si>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</si>
  <si>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</si>
  <si>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</si>
  <si>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</si>
  <si>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</si>
  <si>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</si>
  <si>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</si>
  <si>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</si>
  <si>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</si>
  <si>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</si>
  <si>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</si>
  <si>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</si>
  <si>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</si>
  <si>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</si>
  <si>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</si>
  <si>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</si>
  <si>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</si>
  <si>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</si>
  <si>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</si>
  <si>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</si>
  <si>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</si>
  <si>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</si>
  <si>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</si>
  <si>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</si>
  <si>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</si>
  <si>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</si>
  <si>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</si>
  <si>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</si>
  <si>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</si>
  <si>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</si>
  <si>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</si>
  <si>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</si>
  <si>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</si>
  <si>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</si>
  <si>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</si>
  <si>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</si>
  <si>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</si>
  <si>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</si>
  <si>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</si>
  <si>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</si>
  <si>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</si>
  <si>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</si>
  <si>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</si>
  <si>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</si>
  <si>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</si>
  <si>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</si>
  <si>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</si>
  <si>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</si>
  <si>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</si>
  <si>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</si>
  <si>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</si>
  <si>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</si>
  <si>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</si>
  <si>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</si>
  <si>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</si>
  <si>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</si>
  <si>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</si>
  <si>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</si>
  <si>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</si>
  <si>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</si>
  <si>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</si>
  <si>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</si>
  <si>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</si>
  <si>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</si>
  <si>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</si>
  <si>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</si>
  <si>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</si>
  <si>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</si>
  <si>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</si>
  <si>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</si>
  <si>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</si>
  <si>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</si>
  <si>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</si>
  <si>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</si>
  <si>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</si>
  <si>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</si>
  <si>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</si>
  <si>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</si>
  <si>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</si>
  <si>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</si>
  <si>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</si>
  <si>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</si>
  <si>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</si>
  <si>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</si>
  <si>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</si>
  <si>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</si>
  <si>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</si>
  <si>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</si>
  <si>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</si>
  <si>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</si>
  <si>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</si>
  <si>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</si>
  <si>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</si>
  <si>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</si>
  <si>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</si>
  <si>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</si>
  <si>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</si>
  <si>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</si>
  <si>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</si>
  <si>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</si>
  <si>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</si>
  <si>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</si>
  <si>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</si>
  <si>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</si>
  <si>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</si>
  <si>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</si>
  <si>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</si>
  <si>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</si>
  <si>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</si>
  <si>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</si>
  <si>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</si>
  <si>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</si>
  <si>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</si>
  <si>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</si>
  <si>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</si>
  <si>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</si>
  <si>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</si>
  <si>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</si>
  <si>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</si>
  <si>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</si>
  <si>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</si>
  <si>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</si>
  <si>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</si>
  <si>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</si>
  <si>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</si>
  <si>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</si>
  <si>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</si>
  <si>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</si>
  <si>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</si>
  <si>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</si>
  <si>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</si>
  <si>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</si>
  <si>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</si>
  <si>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</si>
  <si>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</si>
  <si>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</si>
  <si>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</si>
  <si>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</si>
  <si>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</si>
  <si>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</si>
  <si>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</si>
  <si>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</si>
  <si>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</si>
  <si>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</si>
  <si>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</si>
  <si>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</si>
  <si>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</si>
  <si>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</si>
  <si>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</si>
  <si>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</si>
  <si>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</si>
  <si>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</si>
  <si>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</si>
  <si>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</si>
  <si>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</si>
  <si>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</si>
  <si>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</si>
  <si>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</si>
  <si>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</si>
  <si>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</si>
  <si>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</si>
  <si>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</si>
  <si>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</si>
  <si>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</si>
  <si>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</si>
  <si>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</si>
  <si>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</si>
  <si>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</si>
  <si>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</si>
  <si>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</si>
  <si>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</si>
  <si>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</si>
  <si>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</si>
  <si>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</si>
  <si>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</si>
  <si>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</si>
  <si>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</si>
  <si>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</si>
  <si>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</si>
  <si>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</si>
  <si>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</si>
  <si>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</si>
  <si>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</si>
  <si>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</si>
  <si>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</si>
  <si>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</si>
  <si>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</si>
  <si>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</si>
  <si>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</si>
  <si>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</si>
  <si>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</si>
  <si>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</si>
  <si>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</si>
  <si>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</si>
  <si>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</si>
  <si>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</si>
  <si>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</si>
  <si>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</si>
  <si>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</si>
  <si>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</si>
  <si>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</si>
  <si>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</si>
  <si>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</si>
  <si>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</si>
  <si>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</si>
  <si>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</si>
  <si>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</si>
  <si>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</si>
  <si>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</si>
  <si>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</si>
  <si>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</si>
  <si>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</si>
  <si>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</si>
  <si>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</si>
  <si>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</si>
  <si>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</si>
  <si>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</si>
  <si>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</si>
  <si>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</si>
  <si>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</si>
  <si>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</si>
  <si>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</si>
  <si>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</si>
  <si>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</si>
  <si>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</si>
  <si>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</si>
  <si>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</si>
  <si>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</si>
  <si>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</si>
  <si>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</si>
  <si>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</si>
  <si>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</si>
  <si>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</si>
  <si>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</si>
  <si>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</si>
  <si>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</si>
  <si>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</si>
  <si>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</si>
  <si>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</si>
  <si>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</si>
  <si>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</si>
  <si>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</si>
  <si>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</si>
  <si>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</si>
  <si>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</si>
  <si>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</si>
  <si>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</si>
  <si>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</si>
  <si>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</si>
  <si>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</si>
  <si>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</si>
  <si>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</si>
  <si>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</si>
  <si>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</si>
  <si>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</si>
  <si>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</si>
  <si>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</si>
  <si>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</si>
  <si>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</si>
  <si>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</si>
  <si>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</si>
  <si>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</si>
  <si>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</si>
  <si>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</si>
  <si>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</si>
  <si>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</si>
  <si>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</si>
  <si>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</si>
  <si>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</si>
  <si>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</si>
  <si>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</si>
  <si>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</si>
  <si>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</si>
  <si>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</si>
  <si>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</si>
  <si>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</si>
  <si>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</si>
  <si>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</si>
  <si>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</si>
  <si>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</si>
  <si>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</si>
  <si>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</si>
  <si>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</si>
  <si>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</si>
  <si>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</si>
  <si>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</si>
  <si>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</si>
  <si>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</si>
  <si>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</si>
  <si>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</si>
  <si>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</si>
  <si>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</si>
  <si>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</si>
  <si>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</si>
  <si>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</si>
  <si>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</si>
  <si>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</si>
  <si>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</si>
  <si>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</si>
  <si>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</si>
  <si>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</si>
  <si>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</si>
  <si>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</si>
  <si>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</si>
  <si>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</si>
  <si>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</si>
  <si>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</si>
  <si>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</si>
  <si>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</si>
  <si>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</si>
  <si>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</si>
  <si>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</si>
  <si>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</si>
  <si>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</si>
  <si>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</si>
  <si>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</si>
  <si>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</si>
  <si>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</si>
  <si>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</si>
  <si>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</si>
  <si>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</si>
  <si>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</si>
  <si>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</si>
  <si>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</si>
  <si>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</si>
  <si>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</si>
  <si>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</si>
  <si>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</si>
  <si>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</si>
  <si>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</si>
  <si>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</si>
  <si>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</si>
  <si>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</si>
  <si>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</si>
  <si>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</si>
  <si>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</si>
  <si>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</si>
  <si>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</si>
  <si>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</si>
  <si>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</si>
  <si>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</si>
  <si>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</si>
  <si>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</si>
  <si>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</si>
  <si>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</si>
  <si>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</si>
  <si>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</si>
  <si>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</si>
  <si>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</si>
  <si>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</si>
  <si>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</si>
  <si>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</si>
  <si>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</si>
  <si>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</si>
  <si>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</si>
  <si>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</si>
  <si>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</si>
  <si>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</si>
  <si>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</si>
  <si>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</si>
  <si>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</si>
  <si>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</si>
  <si>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</si>
  <si>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</si>
  <si>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</si>
  <si>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</si>
  <si>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</si>
  <si>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</si>
  <si>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</si>
  <si>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</si>
  <si>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</si>
  <si>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</si>
  <si>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</si>
  <si>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</si>
  <si>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</si>
  <si>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</si>
  <si>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</si>
  <si>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</si>
  <si>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</si>
  <si>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</si>
  <si>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</si>
  <si>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</si>
  <si>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</si>
  <si>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</si>
  <si>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</si>
  <si>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</si>
  <si>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</si>
  <si>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</si>
  <si>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</si>
  <si>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</si>
  <si>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</si>
  <si>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</si>
  <si>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</si>
  <si>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</si>
  <si>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</si>
  <si>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</si>
  <si>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</si>
  <si>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</si>
  <si>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</si>
  <si>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</si>
  <si>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</si>
  <si>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</si>
  <si>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</si>
  <si>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</si>
  <si>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</si>
  <si>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</si>
  <si>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</si>
  <si>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</si>
  <si>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</si>
  <si>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</si>
  <si>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</si>
  <si>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</si>
  <si>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</si>
  <si>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</si>
  <si>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</si>
  <si>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</si>
  <si>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</si>
  <si>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</si>
  <si>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</si>
  <si>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</si>
  <si>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</si>
  <si>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</si>
  <si>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</si>
  <si>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</si>
  <si>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</si>
  <si>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</si>
  <si>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</si>
  <si>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</si>
  <si>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</si>
  <si>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</si>
  <si>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</si>
  <si>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</si>
  <si>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</si>
  <si>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</si>
  <si>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</si>
  <si>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</si>
  <si>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</si>
  <si>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</si>
  <si>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</si>
  <si>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</si>
  <si>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</si>
  <si>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</si>
  <si>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</si>
  <si>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</si>
  <si>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</si>
  <si>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</si>
  <si>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</si>
  <si>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</si>
  <si>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</si>
  <si>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</si>
  <si>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</si>
  <si>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</si>
  <si>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</si>
  <si>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</si>
  <si>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</si>
  <si>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</si>
  <si>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</si>
  <si>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</si>
  <si>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</si>
  <si>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</si>
  <si>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</si>
  <si>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</si>
  <si>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</si>
  <si>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</si>
  <si>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</si>
  <si>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</si>
  <si>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</si>
  <si>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</si>
  <si>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</si>
  <si>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</si>
  <si>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</si>
  <si>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</si>
  <si>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</si>
  <si>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</si>
  <si>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</si>
  <si>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</si>
  <si>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</si>
  <si>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</si>
  <si>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</si>
  <si>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</si>
  <si>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</si>
  <si>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</si>
  <si>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</si>
  <si>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</si>
  <si>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</si>
  <si>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</si>
  <si>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</si>
  <si>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</si>
  <si>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</si>
  <si>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</si>
  <si>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</si>
  <si>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</si>
  <si>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</si>
  <si>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</si>
  <si>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</si>
  <si>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</si>
  <si>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</si>
  <si>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</si>
  <si>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</si>
  <si>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</si>
  <si>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</si>
  <si>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</si>
  <si>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</si>
  <si>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</si>
  <si>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</si>
  <si>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</si>
  <si>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</si>
  <si>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</si>
  <si>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</si>
  <si>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</si>
  <si>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</si>
  <si>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</si>
  <si>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</si>
  <si>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</si>
  <si>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</si>
  <si>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</si>
  <si>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</si>
  <si>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</si>
  <si>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</si>
  <si>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</si>
  <si>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</si>
  <si>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</si>
  <si>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</si>
  <si>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</si>
  <si>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</si>
  <si>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</si>
  <si>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</si>
  <si>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</si>
  <si>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</si>
  <si>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</si>
  <si>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</si>
  <si>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</si>
  <si>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</si>
  <si>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</si>
  <si>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</si>
  <si>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</si>
  <si>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</si>
  <si>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</si>
  <si>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</si>
  <si>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</si>
  <si>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</si>
  <si>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</si>
  <si>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</si>
  <si>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</si>
  <si>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</si>
  <si>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</si>
  <si>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</si>
  <si>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</si>
  <si>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</si>
  <si>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</si>
  <si>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</si>
  <si>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</si>
  <si>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</si>
  <si>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</si>
  <si>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</si>
  <si>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</si>
  <si>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</si>
  <si>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</si>
  <si>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</si>
  <si>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</si>
  <si>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</si>
  <si>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</si>
  <si>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</si>
  <si>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</si>
  <si>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</si>
  <si>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</si>
  <si>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</si>
  <si>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</si>
  <si>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</si>
  <si>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</si>
  <si>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</si>
  <si>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</si>
  <si>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</si>
  <si>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</si>
  <si>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</si>
  <si>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</si>
  <si>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</si>
  <si>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</si>
  <si>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</si>
  <si>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</si>
  <si>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</si>
  <si>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</si>
  <si>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</si>
  <si>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</si>
  <si>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</si>
  <si>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</si>
  <si>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</si>
  <si>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</si>
  <si>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</si>
  <si>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</si>
  <si>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</si>
  <si>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</si>
  <si>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</si>
  <si>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</si>
  <si>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</si>
  <si>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</si>
  <si>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</si>
  <si>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</si>
  <si>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</si>
  <si>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</si>
  <si>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</si>
  <si>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</si>
  <si>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</si>
  <si>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</si>
  <si>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</si>
  <si>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</si>
  <si>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</si>
  <si>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</si>
  <si>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</si>
  <si>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</si>
  <si>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</si>
  <si>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</si>
  <si>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</si>
  <si>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</si>
  <si>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</si>
  <si>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</si>
  <si>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</si>
  <si>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</si>
  <si>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</si>
  <si>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</si>
  <si>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</si>
  <si>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</si>
  <si>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</si>
  <si>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</si>
  <si>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</si>
  <si>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</si>
  <si>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</si>
  <si>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</si>
  <si>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</si>
  <si>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</si>
  <si>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</si>
  <si>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</si>
  <si>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</si>
  <si>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</si>
  <si>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</si>
  <si>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</si>
  <si>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</si>
  <si>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</si>
  <si>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</si>
  <si>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</si>
  <si>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</si>
  <si>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</si>
  <si>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</si>
  <si>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</si>
  <si>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</si>
  <si>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</si>
  <si>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</si>
  <si>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</si>
  <si>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</si>
  <si>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</si>
  <si>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</si>
  <si>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</si>
  <si>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</si>
  <si>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</si>
  <si>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</si>
  <si>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</si>
  <si>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</si>
  <si>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</si>
  <si>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</si>
  <si>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</si>
  <si>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</si>
  <si>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</si>
  <si>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</si>
  <si>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</si>
  <si>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</si>
  <si>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</si>
  <si>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</si>
  <si>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</si>
  <si>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</si>
  <si>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</si>
  <si>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</si>
  <si>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</si>
  <si>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</si>
  <si>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</si>
  <si>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</si>
  <si>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</si>
  <si>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</si>
  <si>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</si>
  <si>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</si>
  <si>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</si>
  <si>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</si>
  <si>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</si>
  <si>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</si>
  <si>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</si>
  <si>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</si>
  <si>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</si>
  <si>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</si>
  <si>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</si>
  <si>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</si>
  <si>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</si>
  <si>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</si>
  <si>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</si>
  <si>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</si>
  <si>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</si>
  <si>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</si>
  <si>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</si>
  <si>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</si>
  <si>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</si>
  <si>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</si>
  <si>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</si>
  <si>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</si>
  <si>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</si>
  <si>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</si>
  <si>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</si>
  <si>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</si>
  <si>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</si>
  <si>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</si>
  <si>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</si>
  <si>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</si>
  <si>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</si>
  <si>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</si>
  <si>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</si>
  <si>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</si>
  <si>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</si>
  <si>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</si>
  <si>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</si>
  <si>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</si>
  <si>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</si>
  <si>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</si>
  <si>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</si>
  <si>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</si>
  <si>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</si>
  <si>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</si>
  <si>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</si>
  <si>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</si>
  <si>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</si>
  <si>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</si>
  <si>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</si>
  <si>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</si>
  <si>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</si>
  <si>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</si>
  <si>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</si>
  <si>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</si>
  <si>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</si>
  <si>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</si>
  <si>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</si>
  <si>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</si>
  <si>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</si>
  <si>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</si>
  <si>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</si>
  <si>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</si>
  <si>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</si>
  <si>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</si>
  <si>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</si>
  <si>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</si>
  <si>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</si>
  <si>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</si>
  <si>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</si>
  <si>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</si>
  <si>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</si>
  <si>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</si>
  <si>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</si>
  <si>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</si>
  <si>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</si>
  <si>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</si>
  <si>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</si>
  <si>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</si>
  <si>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</si>
  <si>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</si>
  <si>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</si>
  <si>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</si>
  <si>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</si>
  <si>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</si>
  <si>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</si>
  <si>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</si>
  <si>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</si>
  <si>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</si>
  <si>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</si>
  <si>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</si>
  <si>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</si>
  <si>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</si>
  <si>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</si>
  <si>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</si>
  <si>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</si>
  <si>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</si>
  <si>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</si>
  <si>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</si>
  <si>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</si>
  <si>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</si>
  <si>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</si>
  <si>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</si>
  <si>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</si>
  <si>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</si>
  <si>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</si>
  <si>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</si>
  <si>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</si>
  <si>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</si>
  <si>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</si>
  <si>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</si>
  <si>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</si>
  <si>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</si>
  <si>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</si>
  <si>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</si>
  <si>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</si>
  <si>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</si>
  <si>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</si>
  <si>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</si>
  <si>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</si>
  <si>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</si>
  <si>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</si>
  <si>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</si>
  <si>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</si>
  <si>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</si>
  <si>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</si>
  <si>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</si>
  <si>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</si>
  <si>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</si>
  <si>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</si>
  <si>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</si>
  <si>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</si>
  <si>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</si>
  <si>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</si>
  <si>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</si>
  <si>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</si>
  <si>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</si>
  <si>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</si>
  <si>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</si>
  <si>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</si>
  <si>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</si>
  <si>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</si>
  <si>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</si>
  <si>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</si>
  <si>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</si>
  <si>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</si>
  <si>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</si>
  <si>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</si>
  <si>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</si>
  <si>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</si>
  <si>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</si>
  <si>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</si>
  <si>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</si>
  <si>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</si>
  <si>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</si>
  <si>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</si>
  <si>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</si>
  <si>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</si>
  <si>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</si>
  <si>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</si>
  <si>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</si>
  <si>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</si>
  <si>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</si>
  <si>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</si>
  <si>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</si>
  <si>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</si>
  <si>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</si>
  <si>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</si>
  <si>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</si>
  <si>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</si>
  <si>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</si>
  <si>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</si>
  <si>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</si>
  <si>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</si>
  <si>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</si>
  <si>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</si>
  <si>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</si>
  <si>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</si>
  <si>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</si>
  <si>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</si>
  <si>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</si>
  <si>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</si>
  <si>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</si>
  <si>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</si>
  <si>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</si>
  <si>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</si>
  <si>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</si>
  <si>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</si>
  <si>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</si>
  <si>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</si>
  <si>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</si>
  <si>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</si>
  <si>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</si>
  <si>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</si>
  <si>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</si>
  <si>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</si>
  <si>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</si>
  <si>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</si>
  <si>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</si>
  <si>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</si>
  <si>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</si>
  <si>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</si>
  <si>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</si>
  <si>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</si>
  <si>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</si>
  <si>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</si>
  <si>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</si>
  <si>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</si>
  <si>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</si>
  <si>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</si>
  <si>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</si>
  <si>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</si>
  <si>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</si>
  <si>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</si>
  <si>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</si>
  <si>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</si>
  <si>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</si>
  <si>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</si>
  <si>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</si>
  <si>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</si>
  <si>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</si>
  <si>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</si>
  <si>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</si>
  <si>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</si>
  <si>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</si>
  <si>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</si>
  <si>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</si>
  <si>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</si>
  <si>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</si>
  <si>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</si>
  <si>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</si>
  <si>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</si>
  <si>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</si>
  <si>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</si>
  <si>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</si>
  <si>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</si>
  <si>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</si>
  <si>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</si>
  <si>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</si>
  <si>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</si>
  <si>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</si>
  <si>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</si>
  <si>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</si>
  <si>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</si>
  <si>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</si>
  <si>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</si>
  <si>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</si>
  <si>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</si>
  <si>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</si>
  <si>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</si>
  <si>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</si>
  <si>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</si>
  <si>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</si>
  <si>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</si>
  <si>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</si>
  <si>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</si>
  <si>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</si>
  <si>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</si>
  <si>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</si>
  <si>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</si>
  <si>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</si>
  <si>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</si>
  <si>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</si>
  <si>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</si>
  <si>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</si>
  <si>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</si>
  <si>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</si>
  <si>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</si>
  <si>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</si>
  <si>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</si>
  <si>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</si>
  <si>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</si>
  <si>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</si>
  <si>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</si>
  <si>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</si>
  <si>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</si>
  <si>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</si>
  <si>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</si>
  <si>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</si>
  <si>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</si>
  <si>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</si>
  <si>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</si>
  <si>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</si>
  <si>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</si>
  <si>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</si>
  <si>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</si>
  <si>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</si>
  <si>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</si>
  <si>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</si>
  <si>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</si>
  <si>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</si>
  <si>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</si>
  <si>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</si>
  <si>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</si>
  <si>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</si>
  <si>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</si>
  <si>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</si>
  <si>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</si>
  <si>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</si>
  <si>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</si>
  <si>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</si>
  <si>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</si>
  <si>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</si>
  <si>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</si>
  <si>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</si>
  <si>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</si>
  <si>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</si>
  <si>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</si>
  <si>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</si>
  <si>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</si>
  <si>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</si>
  <si>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</si>
  <si>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</si>
  <si>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</si>
  <si>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</si>
  <si>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</si>
  <si>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</si>
  <si>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</si>
  <si>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</si>
  <si>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</si>
  <si>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</si>
  <si>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</si>
  <si>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</si>
  <si>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</si>
  <si>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</si>
  <si>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</si>
  <si>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</si>
  <si>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</si>
  <si>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</si>
  <si>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</si>
  <si>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</si>
  <si>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</si>
  <si>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</si>
  <si>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</si>
  <si>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</si>
  <si>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</si>
  <si>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</si>
  <si>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</si>
  <si>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</si>
  <si>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</si>
  <si>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</si>
  <si>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</si>
  <si>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</si>
  <si>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</si>
  <si>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</si>
  <si>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</si>
  <si>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</si>
  <si>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</si>
  <si>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</si>
  <si>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</si>
  <si>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</si>
  <si>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</si>
  <si>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</si>
  <si>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</si>
  <si>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</si>
  <si>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</si>
  <si>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</si>
  <si>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</si>
  <si>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</si>
  <si>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</si>
  <si>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</si>
  <si>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</si>
  <si>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</si>
  <si>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</si>
  <si>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</si>
  <si>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</si>
  <si>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</si>
  <si>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</si>
  <si>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</si>
  <si>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</si>
  <si>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</si>
  <si>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</si>
  <si>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</si>
  <si>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</si>
  <si>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</si>
  <si>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</si>
  <si>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</si>
  <si>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</si>
  <si>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</si>
  <si>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</si>
  <si>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</si>
  <si>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</si>
  <si>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</si>
  <si>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</si>
  <si>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</si>
  <si>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</si>
  <si>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</si>
  <si>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</si>
  <si>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</si>
  <si>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</si>
  <si>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</si>
  <si>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</si>
  <si>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</si>
  <si>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</si>
  <si>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</si>
  <si>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</si>
  <si>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</si>
  <si>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</si>
  <si>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</si>
  <si>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</si>
  <si>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</si>
  <si>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</si>
  <si>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</si>
  <si>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</si>
  <si>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</si>
  <si>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</si>
  <si>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</si>
  <si>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</si>
  <si>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</si>
  <si>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</si>
  <si>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</si>
  <si>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</si>
  <si>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</si>
  <si>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</si>
  <si>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</si>
  <si>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</si>
  <si>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</si>
  <si>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</si>
  <si>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</si>
  <si>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</si>
  <si>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</si>
  <si>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</si>
  <si>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</si>
  <si>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</si>
  <si>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</si>
  <si>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</si>
  <si>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</si>
  <si>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</si>
  <si>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</si>
  <si>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</si>
  <si>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</si>
  <si>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</si>
  <si>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</si>
  <si>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</si>
  <si>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</si>
  <si>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</si>
  <si>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</si>
  <si>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</si>
  <si>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</si>
  <si>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</si>
  <si>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</si>
  <si>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</si>
  <si>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</si>
  <si>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</si>
  <si>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</si>
  <si>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</si>
  <si>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</si>
  <si>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</si>
  <si>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</si>
  <si>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</si>
  <si>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</si>
  <si>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</si>
  <si>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</si>
  <si>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</si>
  <si>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</si>
  <si>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</si>
  <si>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</si>
  <si>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</si>
  <si>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</si>
  <si>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</si>
  <si>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</si>
  <si>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</si>
  <si>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</si>
  <si>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</si>
  <si>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</si>
  <si>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</si>
  <si>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</si>
  <si>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</si>
  <si>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</si>
  <si>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</si>
  <si>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</si>
  <si>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</si>
  <si>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</si>
  <si>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</si>
  <si>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</si>
  <si>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</si>
  <si>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</si>
  <si>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</si>
  <si>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</si>
  <si>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</si>
  <si>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</si>
  <si>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</si>
  <si>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</si>
  <si>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</si>
  <si>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</si>
  <si>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</si>
  <si>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</si>
  <si>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</si>
  <si>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</si>
  <si>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</si>
  <si>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</si>
  <si>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</si>
  <si>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</si>
  <si>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</si>
  <si>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</si>
  <si>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</si>
  <si>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</si>
  <si>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</si>
  <si>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</si>
  <si>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</si>
  <si>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</si>
  <si>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</si>
  <si>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</si>
  <si>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</si>
  <si>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</si>
  <si>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</si>
  <si>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</si>
  <si>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</si>
  <si>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</si>
  <si>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</si>
  <si>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</si>
  <si>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</si>
  <si>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</si>
  <si>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</si>
  <si>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</si>
  <si>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</si>
  <si>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</si>
  <si>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</si>
  <si>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</si>
  <si>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</si>
  <si>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</si>
  <si>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</si>
  <si>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</si>
  <si>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</si>
  <si>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</si>
  <si>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</si>
  <si>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</si>
  <si>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</si>
  <si>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</si>
  <si>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</si>
  <si>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</si>
  <si>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</si>
  <si>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</si>
  <si>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</si>
  <si>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</si>
  <si>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</si>
  <si>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</si>
  <si>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</si>
  <si>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</si>
  <si>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</si>
  <si>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</si>
  <si>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</si>
  <si>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</si>
  <si>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</si>
  <si>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</si>
  <si>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</si>
  <si>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</si>
  <si>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</si>
  <si>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</si>
  <si>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</si>
  <si>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</si>
  <si>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</si>
  <si>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</si>
  <si>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</si>
  <si>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</si>
  <si>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</si>
  <si>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</si>
  <si>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</si>
  <si>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</si>
  <si>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</si>
  <si>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</si>
  <si>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</si>
  <si>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</si>
  <si>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</si>
  <si>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</si>
  <si>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</si>
  <si>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</si>
  <si>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</si>
  <si>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</si>
  <si>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</si>
  <si>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</si>
  <si>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</si>
  <si>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</si>
  <si>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</si>
  <si>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</si>
  <si>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</si>
  <si>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</si>
  <si>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</si>
  <si>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</si>
  <si>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</si>
  <si>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</si>
  <si>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</si>
  <si>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</si>
  <si>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</si>
  <si>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</si>
  <si>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</si>
  <si>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</si>
  <si>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</si>
  <si>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</si>
  <si>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</si>
  <si>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</si>
  <si>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</si>
  <si>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</si>
  <si>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</si>
  <si>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</si>
  <si>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</si>
  <si>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</si>
  <si>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</si>
  <si>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</si>
  <si>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</si>
  <si>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</si>
  <si>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</si>
  <si>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</si>
  <si>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</si>
  <si>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</si>
  <si>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</si>
  <si>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</si>
  <si>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</si>
  <si>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</si>
  <si>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</si>
  <si>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</si>
  <si>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</si>
  <si>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</si>
  <si>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</si>
  <si>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</si>
  <si>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</si>
  <si>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</si>
  <si>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</si>
  <si>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</si>
  <si>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</si>
  <si>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</si>
  <si>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</si>
  <si>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</si>
  <si>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</si>
  <si>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</si>
  <si>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</si>
  <si>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</si>
  <si>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</si>
  <si>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</si>
  <si>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</si>
  <si>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</si>
  <si>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</si>
  <si>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</si>
  <si>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</si>
  <si>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</si>
  <si>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</si>
  <si>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</si>
  <si>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</si>
  <si>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</si>
  <si>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</si>
  <si>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</si>
  <si>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</si>
  <si>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</si>
  <si>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</si>
  <si>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</si>
  <si>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</si>
  <si>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</si>
  <si>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</si>
  <si>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</si>
  <si>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</si>
  <si>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</si>
  <si>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</si>
  <si>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</si>
  <si>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</si>
  <si>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</si>
  <si>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</si>
  <si>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</si>
  <si>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</si>
  <si>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</si>
  <si>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</si>
  <si>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</si>
  <si>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</si>
  <si>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</si>
  <si>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</si>
  <si>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</si>
  <si>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</si>
  <si>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</si>
  <si>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</si>
  <si>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</si>
  <si>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</si>
  <si>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</si>
  <si>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</si>
  <si>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</si>
  <si>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</si>
  <si>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</si>
  <si>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</si>
  <si>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</si>
  <si>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</si>
  <si>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</si>
  <si>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</si>
  <si>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</si>
  <si>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</si>
  <si>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</si>
  <si>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</si>
  <si>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</si>
  <si>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</si>
  <si>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</si>
  <si>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</si>
  <si>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</si>
  <si>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</si>
  <si>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</si>
  <si>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</si>
  <si>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</si>
  <si>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</si>
  <si>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</si>
  <si>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</si>
  <si>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</si>
  <si>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</si>
  <si>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</si>
  <si>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</si>
  <si>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</si>
  <si>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</si>
  <si>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</si>
  <si>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</si>
  <si>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</si>
  <si>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</si>
  <si>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</si>
  <si>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</si>
  <si>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</si>
  <si>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</si>
  <si>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</si>
  <si>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</si>
  <si>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</si>
  <si>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</si>
  <si>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</si>
  <si>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</si>
  <si>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</si>
  <si>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</si>
  <si>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</si>
  <si>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</si>
  <si>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</si>
  <si>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</si>
  <si>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</si>
  <si>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</si>
  <si>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</si>
  <si>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</si>
  <si>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</si>
  <si>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</si>
  <si>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</si>
  <si>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</si>
  <si>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</si>
  <si>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</si>
  <si>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</si>
  <si>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</si>
  <si>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</si>
  <si>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</si>
  <si>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</si>
  <si>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</si>
  <si>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</si>
  <si>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</si>
  <si>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</si>
  <si>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</si>
  <si>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</si>
  <si>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</si>
  <si>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</si>
  <si>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</si>
  <si>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</si>
  <si>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</si>
  <si>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</si>
  <si>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</si>
  <si>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</si>
  <si>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</si>
  <si>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</si>
  <si>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</si>
  <si>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</si>
  <si>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</si>
  <si>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</si>
  <si>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</si>
  <si>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</si>
  <si>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</si>
  <si>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</si>
  <si>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</si>
  <si>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</si>
  <si>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</si>
  <si>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</si>
  <si>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</si>
  <si>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</si>
  <si>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</si>
  <si>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</si>
  <si>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</si>
  <si>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</si>
  <si>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</si>
  <si>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</si>
  <si>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</si>
  <si>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</si>
  <si>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</si>
  <si>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</si>
  <si>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</si>
  <si>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</si>
  <si>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</si>
  <si>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</si>
  <si>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</si>
  <si>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</si>
  <si>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</si>
  <si>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</si>
  <si>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</si>
  <si>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</si>
  <si>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</si>
  <si>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</si>
  <si>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</si>
  <si>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</si>
  <si>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</si>
  <si>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</si>
  <si>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</si>
  <si>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</si>
  <si>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</si>
  <si>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</si>
  <si>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</si>
  <si>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</si>
  <si>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</si>
  <si>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</si>
  <si>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</si>
  <si>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</si>
  <si>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</si>
  <si>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</si>
  <si>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</si>
  <si>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</si>
  <si>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</si>
  <si>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</si>
  <si>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</si>
  <si>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</si>
  <si>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</si>
  <si>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</si>
  <si>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</si>
  <si>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</si>
  <si>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</si>
  <si>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</si>
  <si>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</si>
  <si>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</si>
  <si>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</si>
  <si>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</si>
  <si>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</si>
  <si>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</si>
  <si>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</si>
  <si>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</si>
  <si>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</si>
  <si>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</si>
  <si>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</si>
  <si>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</si>
  <si>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</si>
  <si>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</si>
  <si>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</si>
  <si>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</si>
  <si>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</si>
  <si>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</si>
  <si>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</si>
  <si>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</si>
  <si>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</si>
  <si>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</si>
  <si>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</si>
  <si>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</si>
  <si>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</si>
  <si>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</si>
  <si>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</si>
  <si>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</si>
  <si>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</si>
  <si>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</si>
  <si>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</si>
  <si>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</si>
  <si>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</si>
  <si>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</si>
  <si>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</si>
  <si>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</si>
  <si>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</si>
  <si>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</si>
  <si>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</si>
  <si>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</si>
  <si>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</si>
  <si>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</si>
  <si>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</si>
  <si>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</si>
  <si>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</si>
  <si>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</si>
  <si>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</si>
  <si>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</si>
  <si>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</si>
  <si>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</si>
  <si>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</si>
  <si>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</si>
  <si>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</si>
  <si>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</si>
  <si>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</si>
  <si>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</si>
  <si>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</si>
  <si>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</si>
  <si>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</si>
  <si>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</si>
  <si>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</si>
  <si>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</si>
  <si>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</si>
  <si>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</si>
  <si>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</si>
  <si>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</si>
  <si>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</si>
  <si>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</si>
  <si>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</si>
  <si>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</si>
  <si>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</si>
  <si>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</si>
  <si>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</si>
  <si>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</si>
  <si>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</si>
  <si>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</si>
  <si>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</si>
  <si>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</si>
  <si>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</si>
  <si>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</si>
  <si>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</si>
  <si>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</si>
  <si>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</si>
  <si>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</si>
  <si>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</si>
  <si>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</si>
  <si>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</si>
  <si>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</si>
  <si>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</si>
  <si>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</si>
  <si>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</si>
  <si>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</si>
  <si>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</si>
  <si>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</si>
  <si>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</si>
  <si>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</si>
  <si>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</si>
  <si>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</si>
  <si>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</si>
  <si>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</si>
  <si>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</si>
  <si>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</si>
  <si>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</si>
  <si>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</si>
  <si>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</si>
  <si>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</si>
  <si>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</si>
  <si>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</si>
  <si>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</si>
  <si>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</si>
  <si>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</si>
  <si>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</si>
  <si>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</si>
  <si>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</si>
  <si>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</si>
  <si>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</si>
  <si>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</si>
  <si>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</si>
  <si>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</si>
  <si>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</si>
  <si>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</si>
  <si>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</si>
  <si>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</si>
  <si>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</si>
  <si>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</si>
  <si>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</si>
  <si>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</si>
  <si>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</si>
  <si>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</si>
  <si>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</si>
  <si>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</si>
  <si>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</si>
  <si>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</si>
  <si>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</si>
  <si>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</si>
  <si>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</si>
  <si>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</si>
  <si>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</si>
  <si>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</si>
  <si>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</si>
  <si>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</si>
  <si>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</si>
  <si>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</si>
  <si>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</si>
  <si>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</si>
  <si>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</si>
  <si>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</si>
  <si>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</si>
  <si>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</si>
  <si>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</si>
  <si>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</si>
  <si>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</si>
  <si>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</si>
  <si>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</si>
  <si>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</si>
  <si>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</si>
  <si>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</si>
  <si>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</si>
  <si>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</si>
  <si>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</si>
  <si>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</si>
  <si>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</si>
  <si>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</si>
  <si>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</si>
  <si>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</si>
  <si>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</si>
  <si>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</si>
  <si>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</si>
  <si>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</si>
  <si>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</si>
  <si>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</si>
  <si>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</si>
  <si>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</si>
  <si>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</si>
  <si>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</si>
  <si>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</si>
  <si>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</si>
  <si>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</si>
  <si>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</si>
  <si>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</si>
  <si>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</si>
  <si>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</si>
  <si>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</si>
  <si>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</si>
  <si>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</si>
  <si>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</si>
  <si>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</si>
  <si>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</si>
  <si>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</si>
  <si>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</si>
  <si>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</si>
  <si>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</si>
  <si>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</si>
  <si>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</si>
  <si>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</si>
  <si>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</si>
  <si>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</si>
  <si>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</si>
  <si>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</si>
  <si>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</si>
  <si>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</si>
  <si>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</si>
  <si>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</si>
  <si>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</si>
  <si>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</si>
  <si>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</si>
  <si>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</si>
  <si>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</si>
  <si>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</si>
  <si>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</si>
  <si>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</si>
  <si>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</si>
  <si>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</si>
  <si>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</si>
  <si>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</si>
  <si>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</si>
  <si>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</si>
  <si>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</si>
  <si>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</si>
  <si>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</si>
  <si>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</si>
  <si>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</si>
  <si>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</si>
  <si>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</si>
  <si>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</si>
  <si>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</si>
  <si>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</si>
  <si>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</si>
  <si>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</si>
  <si>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</si>
  <si>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</si>
  <si>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</si>
  <si>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</si>
  <si>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</si>
  <si>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</si>
  <si>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</si>
  <si>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</si>
  <si>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</si>
  <si>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</si>
  <si>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</si>
  <si>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</si>
  <si>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</si>
  <si>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</si>
  <si>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</si>
  <si>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</si>
  <si>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</si>
  <si>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</si>
  <si>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</si>
  <si>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</si>
  <si>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</si>
  <si>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</si>
  <si>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</si>
  <si>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</si>
  <si>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</si>
  <si>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</si>
  <si>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</si>
  <si>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</si>
  <si>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</si>
  <si>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</si>
  <si>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</si>
  <si>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</si>
  <si>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</si>
  <si>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</si>
  <si>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</si>
  <si>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</si>
  <si>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</si>
  <si>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</si>
  <si>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</si>
  <si>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</si>
  <si>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</si>
  <si>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</si>
  <si>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</si>
  <si>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</si>
  <si>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</si>
  <si>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</si>
  <si>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</si>
  <si>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</si>
  <si>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</si>
  <si>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</si>
  <si>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</si>
  <si>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</si>
  <si>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</si>
  <si>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</si>
  <si>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</si>
  <si>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</si>
  <si>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</si>
  <si>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</si>
  <si>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</si>
  <si>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</si>
  <si>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</si>
  <si>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</si>
  <si>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</si>
  <si>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</si>
  <si>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</si>
  <si>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</si>
  <si>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</si>
  <si>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</si>
  <si>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</si>
  <si>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</si>
  <si>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</si>
  <si>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</si>
  <si>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</si>
  <si>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</si>
  <si>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</si>
  <si>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</si>
  <si>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</si>
  <si>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</si>
  <si>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</si>
  <si>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</si>
  <si>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</si>
  <si>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</si>
  <si>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</si>
  <si>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</si>
  <si>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</si>
  <si>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</si>
  <si>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</si>
  <si>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</si>
  <si>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</si>
  <si>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</si>
  <si>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</si>
  <si>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</si>
  <si>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</si>
  <si>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</si>
  <si>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</si>
  <si>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</si>
  <si>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</si>
  <si>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</si>
  <si>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</si>
  <si>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</si>
  <si>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</si>
  <si>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</si>
  <si>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</si>
  <si>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</si>
  <si>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</si>
  <si>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</si>
  <si>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</si>
  <si>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</si>
  <si>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</si>
  <si>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</si>
  <si>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</si>
  <si>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</si>
  <si>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</si>
  <si>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</si>
  <si>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</si>
  <si>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</si>
  <si>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</si>
  <si>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</si>
  <si>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</si>
  <si>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</si>
  <si>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</si>
  <si>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</si>
  <si>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</si>
  <si>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</si>
  <si>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</si>
  <si>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</si>
  <si>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</si>
  <si>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</si>
  <si>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</si>
  <si>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</si>
  <si>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</si>
  <si>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</si>
  <si>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</si>
  <si>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</si>
  <si>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</si>
  <si>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</si>
  <si>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</si>
  <si>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</si>
  <si>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</si>
  <si>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</si>
  <si>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</si>
  <si>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</si>
  <si>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</si>
  <si>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</si>
  <si>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</si>
  <si>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</si>
  <si>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</si>
  <si>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</si>
  <si>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</si>
  <si>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</si>
  <si>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</si>
  <si>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</si>
  <si>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</si>
  <si>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</si>
  <si>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</si>
  <si>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</si>
  <si>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</si>
  <si>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</si>
  <si>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</si>
  <si>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</si>
  <si>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</si>
  <si>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</si>
  <si>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</si>
  <si>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</si>
  <si>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</si>
  <si>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</si>
  <si>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</si>
  <si>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</si>
  <si>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</si>
  <si>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</si>
  <si>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</si>
  <si>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</si>
  <si>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</si>
  <si>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</si>
  <si>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</si>
  <si>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</si>
  <si>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</si>
  <si>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</si>
  <si>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</si>
  <si>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</si>
  <si>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</si>
  <si>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</si>
  <si>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</si>
  <si>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</si>
  <si>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</si>
  <si>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</si>
  <si>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</si>
  <si>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</si>
  <si>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</si>
  <si>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</si>
  <si>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</si>
  <si>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</si>
  <si>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</si>
  <si>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</si>
  <si>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</si>
  <si>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</si>
  <si>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</si>
  <si>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</si>
  <si>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</si>
  <si>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</si>
  <si>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</si>
  <si>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</si>
  <si>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</si>
  <si>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</si>
  <si>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</si>
  <si>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</si>
  <si>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</si>
  <si>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</si>
  <si>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</si>
  <si>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</si>
  <si>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</si>
  <si>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</si>
  <si>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</si>
  <si>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</si>
  <si>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</si>
  <si>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</si>
  <si>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</si>
  <si>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</si>
  <si>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</si>
  <si>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</si>
  <si>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</si>
  <si>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</si>
  <si>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</si>
  <si>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</si>
  <si>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</si>
  <si>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</si>
  <si>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</si>
  <si>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</si>
  <si>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</si>
  <si>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</si>
  <si>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</si>
  <si>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</si>
  <si>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</si>
  <si>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</si>
  <si>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</si>
  <si>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</si>
  <si>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</si>
  <si>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</si>
  <si>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</si>
  <si>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</si>
  <si>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</si>
  <si>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</si>
  <si>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</si>
  <si>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</si>
  <si>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</si>
  <si>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</si>
  <si>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</si>
  <si>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</si>
  <si>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</si>
  <si>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</si>
  <si>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</si>
  <si>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</si>
  <si>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</si>
  <si>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</si>
  <si>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</si>
  <si>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</si>
  <si>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</si>
  <si>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</si>
  <si>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</si>
  <si>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</si>
  <si>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</si>
  <si>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</si>
  <si>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</si>
  <si>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</si>
  <si>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</si>
  <si>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</si>
  <si>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</si>
  <si>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</si>
  <si>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</si>
  <si>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</si>
  <si>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</si>
  <si>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</si>
  <si>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</si>
  <si>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</si>
  <si>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</si>
  <si>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</si>
  <si>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</si>
  <si>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</si>
  <si>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</si>
  <si>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</si>
  <si>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</si>
  <si>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</si>
  <si>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</si>
  <si>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</si>
  <si>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</si>
  <si>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</si>
  <si>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</si>
  <si>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</si>
  <si>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</si>
  <si>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</si>
  <si>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</si>
  <si>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</si>
  <si>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</si>
  <si>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</si>
  <si>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</si>
  <si>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</si>
  <si>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</si>
  <si>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</si>
  <si>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</si>
  <si>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</si>
  <si>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</si>
  <si>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</si>
  <si>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</si>
  <si>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</si>
  <si>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</si>
  <si>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</si>
  <si>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</si>
  <si>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</si>
  <si>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</si>
  <si>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</si>
  <si>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</si>
  <si>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</si>
  <si>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</si>
  <si>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</si>
  <si>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</si>
  <si>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</si>
  <si>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</si>
  <si>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</si>
  <si>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</si>
  <si>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</si>
  <si>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</si>
  <si>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</si>
  <si>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</si>
  <si>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</si>
  <si>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</si>
  <si>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</si>
  <si>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</si>
  <si>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</si>
  <si>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</si>
  <si>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</si>
  <si>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</si>
  <si>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</si>
  <si>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</si>
  <si>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</si>
  <si>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</si>
  <si>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</si>
  <si>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</si>
  <si>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</si>
  <si>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</si>
  <si>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</si>
  <si>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</si>
  <si>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</si>
  <si>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</si>
  <si>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</si>
  <si>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</si>
  <si>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</si>
  <si>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</si>
  <si>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</si>
  <si>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</si>
  <si>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</si>
  <si>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</si>
  <si>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</si>
  <si>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</si>
  <si>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</si>
  <si>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</si>
  <si>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</si>
  <si>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</si>
  <si>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</si>
  <si>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</si>
  <si>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</si>
  <si>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</si>
  <si>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</si>
  <si>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</si>
  <si>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</si>
  <si>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</si>
  <si>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</si>
  <si>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</si>
  <si>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</si>
  <si>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</si>
  <si>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</si>
  <si>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</si>
  <si>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</si>
  <si>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</si>
  <si>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</si>
  <si>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</si>
  <si>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</si>
  <si>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</si>
  <si>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</si>
  <si>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</si>
  <si>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</si>
  <si>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</si>
  <si>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</si>
  <si>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</si>
  <si>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</si>
  <si>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</si>
  <si>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</si>
  <si>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</si>
  <si>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</si>
  <si>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</si>
  <si>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</si>
  <si>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</si>
  <si>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</si>
  <si>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</si>
  <si>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</si>
  <si>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</si>
  <si>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</si>
  <si>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</si>
  <si>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</si>
  <si>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</si>
  <si>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</si>
  <si>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</si>
  <si>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</si>
  <si>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</si>
  <si>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</si>
  <si>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</si>
  <si>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</si>
  <si>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</si>
  <si>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</si>
  <si>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</si>
  <si>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</si>
  <si>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</si>
  <si>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</si>
  <si>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</si>
  <si>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</si>
  <si>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</si>
  <si>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</si>
  <si>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</si>
  <si>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</si>
  <si>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</si>
  <si>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</si>
  <si>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</si>
  <si>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</si>
  <si>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</si>
  <si>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</si>
  <si>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</si>
  <si>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</si>
  <si>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</si>
  <si>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</si>
  <si>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</si>
  <si>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</si>
  <si>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</si>
  <si>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</si>
  <si>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</si>
  <si>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</si>
  <si>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</si>
  <si>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</si>
  <si>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</si>
  <si>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</si>
  <si>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</si>
  <si>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</si>
  <si>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</si>
  <si>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</si>
  <si>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</si>
  <si>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</si>
  <si>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</si>
  <si>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</si>
  <si>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</si>
  <si>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</si>
  <si>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</si>
  <si>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</si>
  <si>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</si>
  <si>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</si>
  <si>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</si>
  <si>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</si>
  <si>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</si>
  <si>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</si>
  <si>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</si>
  <si>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</si>
  <si>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</si>
  <si>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</si>
  <si>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</si>
  <si>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</si>
  <si>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</si>
  <si>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</si>
  <si>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</si>
  <si>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</si>
  <si>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</si>
  <si>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</si>
  <si>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</si>
  <si>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</si>
  <si>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</si>
  <si>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</si>
  <si>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</si>
  <si>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</si>
  <si>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</si>
  <si>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</si>
  <si>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</si>
  <si>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</si>
  <si>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</si>
  <si>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</si>
  <si>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</si>
  <si>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</si>
  <si>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</si>
  <si>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</si>
  <si>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</si>
  <si>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</si>
  <si>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</si>
  <si>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</si>
  <si>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</si>
  <si>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</si>
  <si>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</si>
  <si>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</si>
  <si>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</si>
  <si>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</si>
  <si>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</si>
  <si>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</si>
  <si>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</si>
  <si>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</si>
  <si>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</si>
  <si>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</si>
  <si>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</si>
  <si>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</si>
  <si>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</si>
  <si>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</si>
  <si>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</si>
  <si>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</si>
  <si>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</si>
  <si>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</si>
  <si>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</si>
  <si>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</si>
  <si>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</si>
  <si>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</si>
  <si>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</si>
  <si>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</si>
  <si>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</si>
  <si>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</si>
  <si>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</si>
  <si>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</si>
  <si>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</si>
  <si>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</si>
  <si>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</si>
  <si>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</si>
  <si>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</si>
  <si>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</si>
  <si>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</si>
  <si>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</si>
  <si>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</si>
  <si>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</si>
  <si>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</si>
  <si>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</si>
  <si>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</si>
  <si>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</si>
  <si>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</si>
  <si>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</si>
  <si>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</si>
  <si>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</si>
  <si>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</si>
  <si>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</si>
  <si>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</si>
  <si>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</si>
  <si>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</si>
  <si>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</si>
  <si>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</si>
  <si>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</si>
  <si>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</si>
  <si>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</si>
  <si>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</si>
  <si>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</si>
  <si>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</si>
  <si>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</si>
  <si>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</si>
  <si>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</si>
  <si>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</si>
  <si>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</si>
  <si>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</si>
  <si>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</si>
  <si>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</si>
  <si>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</si>
  <si>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</si>
  <si>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</si>
  <si>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</si>
  <si>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</si>
  <si>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</si>
  <si>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</si>
  <si>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</si>
  <si>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</si>
  <si>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</si>
  <si>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</si>
  <si>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</si>
  <si>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</si>
  <si>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</si>
  <si>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</si>
  <si>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</si>
  <si>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</si>
  <si>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</si>
  <si>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</si>
  <si>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</si>
  <si>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</si>
  <si>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</si>
  <si>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</si>
  <si>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</si>
  <si>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</si>
  <si>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</si>
  <si>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</si>
  <si>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</si>
  <si>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</si>
  <si>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</si>
  <si>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</si>
  <si>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</si>
  <si>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</si>
  <si>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</si>
  <si>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</si>
  <si>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</si>
  <si>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</si>
  <si>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</si>
  <si>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</si>
  <si>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</si>
  <si>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</si>
  <si>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</si>
  <si>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</si>
  <si>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</si>
  <si>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</si>
  <si>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</si>
  <si>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</si>
  <si>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</si>
  <si>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</si>
  <si>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</si>
  <si>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</si>
  <si>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</si>
  <si>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</si>
  <si>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</si>
  <si>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</si>
  <si>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</si>
  <si>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</si>
  <si>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</si>
  <si>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</si>
  <si>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</si>
  <si>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</si>
  <si>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</si>
  <si>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</si>
  <si>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</si>
  <si>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</si>
  <si>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</si>
  <si>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</si>
  <si>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</si>
  <si>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</si>
  <si>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</si>
  <si>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</si>
  <si>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</si>
  <si>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</si>
  <si>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</si>
  <si>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</si>
  <si>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</si>
  <si>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</si>
  <si>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</si>
  <si>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</si>
  <si>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</si>
  <si>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</si>
  <si>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</si>
  <si>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</si>
  <si>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</si>
  <si>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</si>
  <si>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</si>
  <si>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</si>
  <si>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</si>
  <si>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</si>
  <si>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</si>
  <si>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</si>
  <si>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</si>
  <si>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</si>
  <si>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</si>
  <si>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</si>
  <si>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</si>
  <si>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</si>
  <si>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</si>
  <si>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</si>
  <si>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</si>
  <si>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</si>
  <si>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</si>
  <si>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</si>
  <si>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</si>
  <si>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</si>
  <si>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</si>
  <si>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</si>
  <si>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</si>
  <si>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</si>
  <si>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</si>
  <si>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</si>
  <si>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</si>
  <si>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</si>
  <si>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</si>
  <si>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</si>
  <si>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</si>
  <si>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</si>
  <si>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</si>
  <si>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</si>
  <si>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</si>
  <si>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</si>
  <si>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</si>
  <si>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</si>
  <si>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</si>
  <si>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</si>
  <si>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</si>
  <si>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</si>
  <si>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</si>
  <si>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</si>
  <si>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</si>
  <si>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</si>
  <si>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</si>
  <si>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</si>
  <si>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</si>
  <si>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</si>
  <si>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</si>
  <si>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</si>
  <si>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</si>
  <si>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</si>
  <si>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</si>
  <si>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</si>
  <si>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</si>
  <si>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</si>
  <si>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</si>
  <si>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</si>
  <si>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</si>
  <si>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</si>
  <si>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</si>
  <si>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</si>
  <si>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</si>
  <si>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</si>
  <si>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</si>
  <si>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</si>
  <si>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</si>
  <si>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</si>
  <si>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</si>
  <si>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</si>
  <si>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</si>
  <si>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</si>
  <si>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</si>
  <si>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</si>
  <si>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</si>
  <si>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</si>
  <si>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</si>
  <si>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</si>
  <si>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</si>
  <si>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</si>
  <si>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</si>
  <si>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</si>
  <si>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</si>
  <si>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</si>
  <si>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</si>
  <si>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</si>
  <si>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</si>
  <si>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</si>
  <si>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</si>
  <si>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</si>
  <si>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</si>
  <si>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</si>
  <si>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</si>
  <si>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</si>
  <si>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</si>
  <si>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</si>
  <si>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</si>
  <si>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</si>
  <si>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</si>
  <si>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</si>
  <si>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</si>
  <si>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</si>
  <si>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</si>
  <si>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</si>
  <si>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</si>
  <si>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</si>
  <si>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</si>
  <si>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</si>
  <si>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</si>
  <si>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</si>
  <si>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</si>
  <si>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</si>
  <si>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</si>
  <si>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</si>
  <si>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</si>
  <si>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</si>
  <si>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</si>
  <si>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</si>
  <si>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</si>
  <si>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</si>
  <si>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</si>
  <si>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</si>
  <si>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</si>
  <si>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</si>
  <si>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</si>
  <si>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</si>
  <si>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</si>
  <si>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</si>
  <si>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</si>
  <si>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</si>
  <si>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</si>
  <si>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</si>
  <si>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</si>
  <si>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</si>
  <si>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</si>
  <si>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</si>
  <si>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</si>
  <si>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</si>
  <si>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</si>
  <si>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</si>
  <si>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</si>
  <si>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</si>
  <si>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</si>
  <si>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</si>
  <si>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</si>
  <si>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</si>
  <si>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</si>
  <si>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</si>
  <si>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</si>
  <si>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</si>
  <si>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</si>
  <si>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</si>
  <si>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</si>
  <si>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</si>
  <si>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</si>
  <si>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</si>
  <si>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</si>
  <si>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</si>
  <si>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</si>
  <si>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</si>
  <si>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</si>
  <si>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</si>
  <si>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</si>
  <si>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</si>
  <si>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</si>
  <si>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</si>
  <si>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</si>
  <si>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</si>
  <si>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</si>
  <si>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</si>
  <si>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</si>
  <si>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</si>
  <si>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</si>
  <si>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</si>
  <si>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</si>
  <si>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</si>
  <si>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</si>
  <si>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</si>
  <si>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</si>
  <si>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</si>
  <si>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</si>
  <si>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</si>
  <si>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</si>
  <si>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</si>
  <si>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</si>
  <si>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</si>
  <si>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</si>
  <si>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</si>
  <si>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</si>
  <si>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</si>
  <si>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</si>
  <si>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</si>
  <si>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</si>
  <si>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</si>
  <si>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</si>
  <si>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</si>
  <si>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</si>
  <si>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</si>
  <si>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</si>
  <si>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</si>
  <si>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</si>
  <si>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</si>
  <si>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</si>
  <si>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</si>
  <si>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</si>
  <si>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</si>
  <si>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</si>
  <si>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</si>
  <si>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</si>
  <si>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</si>
  <si>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</si>
  <si>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</si>
  <si>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</si>
  <si>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</si>
  <si>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</si>
  <si>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</si>
  <si>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</si>
  <si>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</si>
  <si>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</si>
  <si>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</si>
  <si>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</si>
  <si>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</si>
  <si>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</si>
  <si>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</si>
  <si>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</si>
  <si>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</si>
  <si>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</si>
  <si>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</si>
  <si>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</si>
  <si>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</si>
  <si>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</si>
  <si>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</si>
  <si>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</si>
  <si>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</si>
  <si>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</si>
  <si>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</si>
  <si>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</si>
  <si>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</si>
  <si>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</si>
  <si>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</si>
  <si>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</si>
  <si>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</si>
  <si>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</si>
  <si>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</si>
  <si>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</si>
  <si>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</si>
  <si>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</si>
  <si>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</si>
  <si>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</si>
  <si>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</si>
  <si>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</si>
  <si>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</si>
  <si>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</si>
  <si>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</si>
  <si>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</si>
  <si>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</si>
  <si>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</si>
  <si>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</si>
  <si>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</si>
  <si>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</si>
  <si>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</si>
  <si>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</si>
  <si>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</si>
  <si>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</si>
  <si>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</si>
  <si>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</si>
  <si>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</si>
  <si>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</si>
  <si>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</si>
  <si>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</si>
  <si>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</si>
  <si>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</si>
  <si>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</si>
  <si>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</si>
  <si>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</si>
  <si>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</si>
  <si>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</si>
  <si>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</si>
  <si>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</si>
  <si>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</si>
  <si>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</si>
  <si>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</si>
  <si>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</si>
  <si>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</si>
  <si>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</si>
  <si>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</si>
  <si>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</si>
  <si>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</si>
  <si>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</si>
  <si>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</si>
  <si>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</si>
  <si>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</si>
  <si>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</si>
  <si>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</si>
  <si>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</si>
  <si>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</si>
  <si>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</si>
  <si>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</si>
  <si>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</si>
  <si>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</si>
  <si>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</si>
  <si>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</si>
  <si>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</si>
  <si>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</si>
  <si>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</si>
  <si>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</si>
  <si>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</si>
  <si>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</si>
  <si>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</si>
  <si>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</si>
  <si>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</si>
  <si>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</si>
  <si>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</si>
  <si>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</si>
  <si>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</si>
  <si>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</si>
  <si>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</si>
  <si>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</si>
  <si>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</si>
  <si>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</si>
  <si>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</si>
  <si>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</si>
  <si>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</si>
  <si>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</si>
  <si>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</si>
  <si>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</si>
  <si>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</si>
  <si>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</si>
  <si>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</si>
  <si>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</si>
  <si>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</si>
  <si>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</si>
  <si>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</si>
  <si>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</si>
  <si>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</si>
  <si>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</si>
  <si>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</si>
  <si>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</si>
  <si>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</si>
  <si>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</si>
  <si>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</si>
  <si>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</si>
  <si>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</si>
  <si>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</si>
  <si>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</si>
  <si>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</si>
  <si>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</si>
  <si>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</si>
  <si>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</si>
  <si>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</si>
  <si>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</si>
  <si>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</si>
  <si>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</si>
  <si>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</si>
  <si>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</si>
  <si>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</si>
  <si>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</si>
  <si>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</si>
  <si>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</si>
  <si>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</si>
  <si>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</si>
  <si>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</si>
  <si>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</si>
  <si>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</si>
  <si>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</si>
  <si>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</si>
  <si>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</si>
  <si>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</si>
  <si>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</si>
  <si>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</si>
  <si>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</si>
  <si>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</si>
  <si>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</si>
  <si>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</si>
  <si>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</si>
  <si>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</si>
  <si>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</si>
  <si>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</si>
  <si>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</si>
  <si>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</si>
  <si>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</si>
  <si>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</si>
  <si>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</si>
  <si>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</si>
  <si>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</si>
  <si>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</si>
  <si>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</si>
  <si>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</si>
  <si>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</si>
  <si>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</si>
  <si>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</si>
  <si>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</si>
  <si>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</si>
  <si>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</si>
  <si>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</si>
  <si>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</si>
  <si>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</si>
  <si>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</si>
  <si>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</si>
  <si>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</si>
  <si>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</si>
  <si>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</si>
  <si>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</si>
  <si>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</si>
  <si>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</si>
  <si>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</si>
  <si>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</si>
  <si>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</si>
  <si>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</si>
  <si>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</si>
  <si>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</si>
  <si>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</si>
  <si>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</si>
  <si>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</si>
  <si>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</si>
  <si>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</si>
  <si>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</si>
  <si>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</si>
  <si>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</si>
  <si>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</si>
  <si>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</si>
  <si>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</si>
  <si>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</si>
  <si>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</si>
  <si>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</si>
  <si>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</si>
  <si>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</si>
  <si>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</si>
  <si>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</si>
  <si>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</si>
  <si>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</si>
  <si>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</si>
  <si>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</si>
  <si>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</si>
  <si>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</si>
  <si>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</si>
  <si>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</si>
  <si>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</si>
  <si>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</si>
  <si>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</si>
  <si>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</si>
  <si>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</si>
  <si>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</si>
  <si>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</si>
  <si>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</si>
  <si>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</si>
  <si>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</si>
  <si>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</si>
  <si>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</si>
  <si>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</si>
  <si>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</si>
  <si>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</si>
  <si>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</si>
  <si>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</si>
  <si>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</si>
  <si>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</si>
  <si>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</si>
  <si>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</si>
  <si>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</si>
  <si>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</si>
  <si>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</si>
  <si>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</si>
  <si>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</si>
  <si>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</si>
  <si>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</si>
  <si>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</si>
  <si>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</si>
  <si>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</si>
  <si>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</si>
  <si>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</si>
  <si>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</si>
  <si>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</si>
  <si>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</si>
  <si>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</si>
  <si>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</si>
  <si>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</si>
  <si>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</si>
  <si>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</si>
  <si>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</si>
  <si>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</si>
  <si>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</si>
  <si>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</si>
  <si>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</si>
  <si>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</si>
  <si>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</si>
  <si>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</si>
  <si>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</si>
  <si>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</si>
  <si>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</si>
  <si>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</si>
  <si>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</si>
  <si>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</si>
  <si>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</si>
  <si>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</si>
  <si>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</si>
  <si>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</si>
  <si>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</si>
  <si>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</si>
  <si>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</si>
  <si>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</si>
  <si>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</si>
  <si>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</si>
  <si>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</si>
  <si>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</si>
  <si>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</si>
  <si>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</si>
  <si>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</si>
  <si>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</si>
  <si>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</si>
  <si>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</si>
  <si>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</si>
  <si>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</si>
  <si>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</si>
  <si>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</si>
  <si>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</si>
  <si>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</si>
  <si>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</si>
  <si>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</si>
  <si>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</si>
  <si>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</si>
  <si>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</si>
  <si>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</si>
  <si>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</si>
  <si>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</si>
  <si>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</si>
  <si>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</si>
  <si>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</si>
  <si>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</si>
  <si>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</si>
  <si>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</si>
  <si>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</si>
  <si>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</si>
  <si>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</si>
  <si>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</si>
  <si>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</si>
  <si>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</si>
  <si>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</si>
  <si>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</si>
  <si>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</si>
  <si>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</si>
  <si>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</si>
  <si>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</si>
  <si>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</si>
  <si>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</si>
  <si>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</si>
  <si>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</si>
  <si>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</si>
  <si>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</si>
  <si>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</si>
  <si>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</si>
  <si>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</si>
  <si>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</si>
  <si>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</si>
  <si>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</si>
  <si>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</si>
  <si>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</si>
  <si>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</si>
  <si>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</si>
  <si>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</si>
  <si>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</si>
  <si>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</si>
  <si>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</si>
  <si>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</si>
  <si>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</si>
  <si>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</si>
  <si>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</si>
  <si>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</si>
  <si>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</si>
  <si>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</si>
  <si>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</si>
  <si>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</si>
  <si>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</si>
  <si>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</si>
  <si>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</si>
  <si>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</si>
  <si>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</si>
  <si>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</si>
  <si>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</si>
  <si>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</si>
  <si>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</si>
  <si>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</si>
  <si>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</si>
  <si>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</si>
  <si>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</si>
  <si>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</si>
  <si>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</si>
  <si>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</si>
  <si>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</si>
  <si>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</si>
  <si>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</si>
  <si>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</si>
  <si>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</si>
  <si>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</si>
  <si>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</si>
  <si>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</si>
  <si>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</si>
  <si>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</si>
  <si>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</si>
  <si>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</si>
  <si>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</si>
  <si>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</si>
  <si>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</si>
  <si>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</si>
  <si>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</si>
  <si>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</si>
  <si>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</si>
  <si>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</si>
  <si>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</si>
  <si>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</si>
  <si>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</si>
  <si>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</si>
  <si>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</si>
  <si>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</si>
  <si>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</si>
  <si>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</si>
  <si>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</si>
  <si>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</si>
  <si>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</si>
  <si>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</si>
  <si>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</si>
  <si>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</si>
  <si>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</si>
  <si>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</si>
  <si>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</si>
  <si>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</si>
  <si>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</si>
  <si>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</si>
  <si>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</si>
  <si>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</si>
  <si>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</si>
  <si>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</si>
  <si>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</si>
  <si>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</si>
  <si>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</si>
  <si>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</si>
  <si>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</si>
  <si>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</si>
  <si>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</si>
  <si>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</si>
  <si>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</si>
  <si>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</si>
  <si>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</si>
  <si>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</si>
  <si>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</si>
  <si>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</si>
  <si>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</si>
  <si>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</si>
  <si>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</si>
  <si>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</si>
  <si>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</si>
  <si>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</si>
  <si>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</si>
  <si>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</si>
  <si>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</si>
  <si>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</si>
  <si>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</si>
  <si>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</si>
  <si>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</si>
  <si>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</si>
  <si>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</si>
  <si>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</si>
  <si>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</si>
  <si>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</si>
  <si>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</si>
  <si>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</si>
  <si>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</si>
  <si>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</si>
  <si>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</si>
  <si>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</si>
  <si>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</si>
  <si>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</si>
  <si>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</si>
  <si>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</si>
  <si>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</si>
  <si>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</si>
  <si>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</si>
  <si>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</si>
  <si>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</si>
  <si>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</si>
  <si>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</si>
  <si>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</si>
  <si>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</si>
  <si>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</si>
  <si>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</si>
  <si>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</si>
  <si>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</si>
  <si>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</si>
  <si>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</si>
  <si>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</si>
  <si>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</si>
  <si>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</si>
  <si>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</si>
  <si>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</si>
  <si>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</si>
  <si>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</si>
  <si>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</si>
  <si>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</si>
  <si>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</si>
  <si>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</si>
  <si>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</si>
  <si>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</si>
  <si>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</si>
  <si>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</si>
  <si>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</si>
  <si>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</si>
  <si>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</si>
  <si>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</si>
  <si>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</si>
  <si>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</si>
  <si>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</si>
  <si>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</si>
  <si>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</si>
  <si>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</si>
  <si>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</si>
  <si>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</si>
  <si>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</si>
  <si>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</si>
  <si>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</si>
  <si>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</si>
  <si>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</si>
  <si>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</si>
  <si>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</si>
  <si>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</si>
  <si>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</si>
  <si>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</si>
  <si>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</si>
  <si>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</si>
  <si>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</si>
  <si>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</si>
  <si>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</si>
  <si>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</si>
  <si>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</si>
  <si>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</si>
  <si>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</si>
  <si>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</si>
  <si>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</si>
  <si>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</si>
  <si>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</si>
  <si>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</si>
  <si>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</si>
  <si>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</si>
  <si>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</si>
  <si>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</si>
  <si>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</si>
  <si>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</si>
  <si>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</si>
  <si>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</si>
  <si>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</si>
  <si>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</si>
  <si>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</si>
  <si>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</si>
  <si>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</si>
  <si>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</si>
  <si>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</si>
  <si>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</si>
  <si>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</si>
  <si>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</si>
  <si>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</si>
  <si>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</si>
  <si>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</si>
  <si>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</si>
  <si>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</si>
  <si>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</si>
  <si>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</si>
  <si>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</si>
  <si>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</si>
  <si>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</si>
  <si>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</si>
  <si>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</si>
  <si>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</si>
  <si>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</si>
  <si>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</si>
  <si>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</si>
  <si>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</si>
  <si>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</si>
  <si>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</si>
  <si>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</si>
  <si>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</si>
  <si>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</si>
  <si>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</si>
  <si>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</si>
  <si>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</si>
  <si>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</si>
  <si>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</si>
  <si>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</si>
  <si>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</si>
  <si>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</si>
  <si>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</si>
  <si>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</si>
  <si>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</si>
  <si>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</si>
  <si>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</si>
  <si>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</si>
  <si>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</si>
  <si>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</si>
  <si>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</si>
  <si>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</si>
  <si>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</si>
  <si>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</si>
  <si>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</si>
  <si>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</si>
  <si>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</si>
  <si>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</si>
  <si>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</si>
  <si>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</si>
  <si>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</si>
  <si>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</si>
  <si>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</si>
  <si>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</si>
  <si>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</si>
  <si>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</si>
  <si>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</si>
  <si>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</si>
  <si>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</si>
  <si>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</si>
  <si>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</si>
  <si>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</si>
  <si>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</si>
  <si>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</si>
  <si>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</si>
  <si>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</si>
  <si>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</si>
  <si>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</si>
  <si>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</si>
  <si>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</si>
  <si>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</si>
  <si>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</si>
  <si>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</si>
  <si>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</si>
  <si>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</si>
  <si>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</si>
  <si>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</si>
  <si>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</si>
  <si>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</si>
  <si>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</si>
  <si>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</si>
  <si>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</si>
  <si>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</si>
  <si>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</si>
  <si>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</si>
  <si>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</si>
  <si>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</si>
  <si>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</si>
  <si>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</si>
  <si>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</si>
  <si>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</si>
  <si>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</si>
  <si>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</si>
  <si>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</si>
  <si>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</si>
  <si>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</si>
  <si>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</si>
  <si>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</si>
  <si>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</si>
  <si>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</si>
  <si>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</si>
  <si>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</si>
  <si>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</si>
  <si>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</si>
  <si>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</si>
  <si>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</si>
  <si>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</si>
  <si>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</si>
  <si>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</si>
  <si>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</si>
  <si>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</si>
  <si>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</si>
  <si>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</si>
  <si>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</si>
  <si>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</si>
  <si>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</si>
  <si>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</si>
  <si>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</si>
  <si>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</si>
  <si>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</si>
  <si>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</si>
  <si>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</si>
  <si>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</si>
  <si>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</si>
  <si>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</si>
  <si>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</si>
  <si>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</si>
  <si>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</si>
  <si>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</si>
  <si>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</si>
  <si>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</si>
  <si>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</si>
  <si>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</si>
  <si>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</si>
  <si>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</si>
  <si>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</si>
  <si>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</si>
  <si>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</si>
  <si>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</si>
  <si>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</si>
  <si>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</si>
  <si>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</si>
  <si>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</si>
  <si>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</si>
  <si>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</si>
  <si>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</si>
  <si>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</si>
  <si>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</si>
  <si>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</si>
  <si>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</si>
  <si>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</si>
  <si>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</si>
  <si>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</si>
  <si>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</si>
  <si>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</si>
  <si>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</si>
  <si>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</si>
  <si>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</si>
  <si>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</si>
  <si>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</si>
  <si>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</si>
  <si>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</si>
  <si>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</si>
  <si>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</si>
  <si>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</si>
  <si>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</si>
  <si>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</si>
  <si>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</si>
  <si>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</si>
  <si>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</si>
  <si>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</si>
  <si>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</si>
  <si>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</si>
  <si>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</si>
  <si>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</si>
  <si>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</si>
  <si>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</si>
  <si>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</si>
  <si>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</si>
  <si>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</si>
  <si>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</si>
  <si>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</si>
  <si>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</si>
  <si>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</si>
  <si>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</si>
  <si>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</si>
  <si>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</si>
  <si>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</si>
  <si>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</si>
  <si>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</si>
  <si>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</si>
  <si>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</si>
  <si>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</si>
  <si>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</si>
  <si>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</si>
  <si>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</si>
  <si>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</si>
  <si>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</si>
  <si>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</si>
  <si>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</si>
  <si>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</si>
  <si>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</si>
  <si>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</si>
  <si>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</si>
  <si>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</si>
  <si>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</si>
  <si>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</si>
  <si>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</si>
  <si>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</si>
  <si>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</si>
  <si>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</si>
  <si>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</si>
  <si>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</si>
  <si>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</si>
  <si>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</si>
  <si>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</si>
  <si>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</si>
  <si>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</si>
  <si>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</si>
  <si>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</si>
  <si>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</si>
  <si>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</si>
  <si>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</si>
  <si>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</si>
  <si>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</si>
  <si>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</si>
  <si>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</si>
  <si>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</si>
  <si>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</si>
  <si>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</si>
  <si>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</si>
  <si>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</si>
  <si>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</si>
  <si>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</si>
  <si>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</si>
  <si>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</si>
  <si>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</si>
  <si>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</si>
  <si>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</si>
  <si>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</si>
  <si>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</si>
  <si>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</si>
  <si>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</si>
  <si>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</si>
  <si>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</si>
  <si>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</si>
  <si>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</si>
  <si>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</si>
  <si>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</si>
  <si>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</si>
  <si>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</si>
  <si>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</si>
  <si>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</si>
  <si>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</si>
  <si>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</si>
  <si>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</si>
  <si>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</si>
  <si>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</si>
  <si>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</si>
  <si>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</si>
  <si>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</si>
  <si>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</si>
  <si>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</si>
  <si>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</si>
  <si>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</si>
  <si>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</si>
  <si>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</si>
  <si>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</si>
  <si>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</si>
  <si>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</si>
  <si>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</si>
  <si>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</si>
  <si>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</si>
  <si>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</si>
  <si>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</si>
  <si>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</si>
  <si>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</si>
  <si>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</si>
  <si>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</si>
  <si>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</si>
  <si>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</si>
  <si>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</si>
  <si>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</si>
  <si>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</si>
  <si>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</si>
  <si>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</si>
  <si>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</si>
  <si>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</si>
  <si>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</si>
  <si>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</si>
  <si>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</si>
  <si>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</si>
  <si>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</si>
  <si>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</si>
  <si>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</si>
  <si>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</si>
  <si>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</si>
  <si>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</si>
  <si>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</si>
  <si>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</si>
  <si>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</si>
  <si>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</si>
  <si>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</si>
  <si>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</si>
  <si>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</si>
  <si>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</si>
  <si>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</si>
  <si>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</si>
  <si>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</si>
  <si>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</si>
  <si>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</si>
  <si>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</si>
  <si>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</si>
  <si>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</si>
  <si>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</si>
  <si>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</si>
  <si>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</si>
  <si>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</si>
  <si>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</si>
  <si>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</si>
  <si>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</si>
  <si>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</si>
  <si>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</si>
  <si>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</si>
  <si>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</si>
  <si>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</si>
  <si>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</si>
  <si>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</si>
  <si>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</si>
  <si>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</si>
  <si>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</si>
  <si>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</si>
  <si>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</si>
  <si>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</si>
  <si>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</si>
  <si>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</si>
  <si>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</si>
  <si>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</si>
  <si>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</si>
  <si>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</si>
  <si>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</si>
  <si>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</si>
  <si>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</si>
  <si>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</si>
  <si>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</si>
  <si>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</si>
  <si>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</si>
  <si>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</si>
  <si>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</si>
  <si>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</si>
  <si>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</si>
  <si>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</si>
  <si>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</si>
  <si>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</si>
  <si>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</si>
  <si>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</si>
  <si>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</si>
  <si>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</si>
  <si>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</si>
  <si>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</si>
  <si>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</si>
  <si>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</si>
  <si>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</si>
  <si>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</si>
  <si>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</si>
  <si>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</si>
  <si>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</si>
  <si>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</si>
  <si>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</si>
  <si>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</si>
  <si>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</si>
  <si>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</si>
  <si>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</si>
  <si>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</si>
  <si>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</si>
  <si>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</si>
  <si>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</si>
  <si>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</si>
  <si>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</si>
  <si>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</si>
  <si>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</si>
  <si>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</si>
  <si>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</si>
  <si>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</si>
  <si>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</si>
  <si>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</si>
  <si>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</si>
  <si>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</si>
  <si>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</si>
  <si>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</si>
  <si>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</si>
  <si>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</si>
  <si>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</si>
  <si>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</si>
  <si>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</si>
  <si>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</si>
  <si>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</si>
  <si>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</si>
  <si>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</si>
  <si>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</si>
  <si>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</si>
  <si>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</si>
  <si>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</si>
  <si>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</si>
  <si>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</si>
  <si>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</si>
  <si>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</si>
  <si>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</si>
  <si>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</si>
  <si>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</si>
  <si>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</si>
  <si>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</si>
  <si>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</si>
  <si>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</si>
  <si>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</si>
  <si>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</si>
  <si>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</si>
  <si>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</si>
  <si>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</si>
  <si>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</si>
  <si>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</si>
  <si>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</si>
  <si>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</si>
  <si>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</si>
  <si>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</si>
  <si>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</si>
  <si>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</si>
  <si>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</si>
  <si>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</si>
  <si>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</si>
  <si>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</si>
  <si>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</si>
  <si>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</si>
  <si>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</si>
  <si>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</si>
  <si>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</si>
  <si>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</si>
  <si>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</si>
  <si>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</si>
  <si>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</si>
  <si>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</si>
  <si>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</si>
  <si>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</si>
  <si>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</si>
  <si>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</si>
  <si>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</si>
  <si>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</si>
  <si>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</si>
  <si>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</si>
  <si>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</si>
  <si>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</si>
  <si>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</si>
  <si>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</si>
  <si>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</si>
  <si>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</si>
  <si>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</si>
  <si>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</si>
  <si>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</si>
  <si>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</si>
  <si>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</si>
  <si>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</si>
  <si>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</si>
  <si>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</si>
  <si>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</si>
  <si>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</si>
  <si>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</si>
  <si>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</si>
  <si>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</si>
  <si>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</si>
  <si>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</si>
  <si>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</si>
  <si>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</si>
  <si>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</si>
  <si>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</si>
  <si>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</si>
  <si>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</si>
  <si>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</si>
  <si>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</si>
  <si>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</si>
  <si>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</si>
  <si>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</si>
  <si>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</si>
  <si>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</si>
  <si>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</si>
  <si>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</si>
  <si>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</si>
  <si>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</si>
  <si>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</si>
  <si>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</si>
  <si>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</si>
  <si>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</si>
  <si>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</si>
  <si>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</si>
  <si>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</si>
  <si>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</si>
  <si>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</si>
  <si>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</si>
  <si>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</si>
  <si>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</si>
  <si>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</si>
  <si>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</si>
  <si>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</si>
  <si>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</si>
  <si>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</si>
  <si>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</si>
  <si>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</si>
  <si>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</si>
  <si>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</si>
  <si>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</si>
  <si>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</si>
  <si>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</si>
  <si>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</si>
  <si>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</si>
  <si>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</si>
  <si>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</si>
  <si>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</si>
  <si>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</si>
  <si>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</si>
  <si>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</si>
  <si>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</si>
  <si>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</si>
  <si>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</si>
  <si>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</si>
  <si>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</si>
  <si>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</si>
  <si>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</si>
  <si>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</si>
  <si>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</si>
  <si>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</si>
  <si>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</si>
  <si>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</si>
  <si>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</si>
  <si>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</si>
  <si>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</si>
  <si>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</si>
  <si>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</si>
  <si>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</si>
  <si>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</si>
  <si>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</si>
  <si>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</si>
  <si>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</si>
  <si>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</si>
  <si>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</si>
  <si>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</si>
  <si>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</si>
  <si>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</si>
  <si>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</si>
  <si>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</si>
  <si>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</si>
  <si>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</si>
  <si>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</si>
  <si>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</si>
  <si>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</si>
  <si>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</si>
  <si>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</si>
  <si>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</si>
  <si>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</si>
  <si>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</si>
  <si>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</si>
  <si>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</si>
  <si>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</si>
  <si>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</si>
  <si>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</si>
  <si>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</si>
  <si>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</si>
  <si>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</si>
  <si>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</si>
  <si>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</si>
  <si>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</si>
  <si>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</si>
  <si>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</si>
  <si>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</si>
  <si>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</si>
  <si>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</si>
  <si>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</si>
  <si>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</si>
  <si>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</si>
  <si>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</si>
  <si>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</si>
  <si>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</si>
  <si>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</si>
  <si>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</si>
  <si>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</si>
  <si>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</si>
  <si>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</si>
  <si>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</si>
  <si>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</si>
  <si>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</si>
  <si>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</si>
  <si>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</si>
  <si>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</si>
  <si>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</si>
  <si>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</si>
  <si>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</si>
  <si>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</si>
  <si>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</si>
  <si>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</si>
  <si>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</si>
  <si>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</si>
  <si>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</si>
  <si>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</si>
  <si>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</si>
  <si>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</si>
  <si>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</si>
  <si>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</si>
  <si>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</si>
  <si>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</si>
  <si>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</si>
  <si>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</si>
  <si>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</si>
  <si>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</si>
  <si>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</si>
  <si>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</si>
  <si>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</si>
  <si>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</si>
  <si>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</si>
  <si>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</si>
  <si>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</si>
  <si>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</si>
  <si>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</si>
  <si>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</si>
  <si>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</si>
  <si>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</si>
  <si>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</si>
  <si>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</si>
  <si>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</si>
  <si>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</si>
  <si>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</si>
  <si>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</si>
  <si>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</si>
  <si>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</si>
  <si>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</si>
  <si>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</si>
  <si>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</si>
  <si>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</si>
  <si>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</si>
  <si>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</si>
  <si>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</si>
  <si>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</si>
  <si>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</si>
  <si>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</si>
  <si>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</si>
  <si>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</si>
  <si>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</si>
  <si>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</si>
  <si>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</si>
  <si>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</si>
  <si>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</si>
  <si>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</si>
  <si>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</si>
  <si>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</si>
  <si>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</si>
  <si>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</si>
  <si>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</si>
  <si>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</si>
  <si>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</si>
  <si>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</si>
  <si>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</si>
  <si>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</si>
  <si>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</si>
  <si>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</si>
  <si>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</si>
  <si>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</si>
  <si>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</si>
  <si>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</si>
  <si>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</si>
  <si>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</si>
  <si>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</si>
  <si>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</si>
  <si>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</si>
  <si>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</si>
  <si>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</si>
  <si>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</si>
  <si>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</si>
  <si>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</si>
  <si>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</si>
  <si>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</si>
  <si>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</si>
  <si>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</si>
  <si>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</si>
  <si>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</si>
  <si>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</si>
  <si>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</si>
  <si>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</si>
  <si>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</si>
  <si>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</si>
  <si>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</si>
  <si>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</si>
  <si>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</si>
  <si>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</si>
  <si>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</si>
  <si>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</si>
  <si>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</si>
  <si>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</si>
  <si>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</si>
  <si>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</si>
  <si>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</si>
  <si>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</si>
  <si>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</si>
  <si>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</si>
  <si>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</si>
  <si>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</si>
  <si>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</si>
  <si>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</si>
  <si>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</si>
  <si>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</si>
  <si>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</si>
  <si>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</si>
  <si>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</si>
  <si>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</si>
  <si>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</si>
  <si>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</si>
  <si>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</si>
  <si>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</si>
  <si>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</si>
  <si>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</si>
  <si>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</si>
  <si>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</si>
  <si>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</si>
  <si>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</si>
  <si>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</si>
  <si>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</si>
  <si>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</si>
  <si>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</si>
  <si>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</si>
  <si>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</si>
  <si>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</si>
  <si>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</si>
  <si>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</si>
  <si>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</si>
  <si>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</si>
  <si>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</si>
  <si>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</si>
  <si>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</si>
  <si>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</si>
  <si>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</si>
  <si>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</si>
  <si>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</si>
  <si>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</si>
  <si>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</si>
  <si>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</si>
  <si>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</si>
  <si>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</si>
  <si>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</si>
  <si>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</si>
  <si>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</si>
  <si>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</si>
  <si>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</si>
  <si>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</si>
  <si>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</si>
  <si>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</si>
  <si>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</si>
  <si>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</si>
  <si>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</si>
  <si>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</si>
  <si>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</si>
  <si>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</si>
  <si>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</si>
  <si>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</si>
  <si>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</si>
  <si>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</si>
  <si>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</si>
  <si>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</si>
  <si>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</si>
  <si>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</si>
  <si>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</si>
  <si>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</si>
  <si>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</si>
  <si>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</si>
  <si>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</si>
  <si>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</si>
  <si>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</si>
  <si>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</si>
  <si>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</si>
  <si>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</si>
  <si>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</si>
  <si>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</si>
  <si>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</si>
  <si>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</si>
  <si>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</si>
  <si>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</si>
  <si>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</si>
  <si>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</si>
  <si>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</si>
  <si>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</si>
  <si>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</si>
  <si>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</si>
  <si>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</si>
  <si>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</si>
  <si>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</si>
  <si>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</si>
  <si>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</si>
  <si>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</si>
  <si>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</si>
  <si>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</si>
  <si>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</si>
  <si>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</si>
  <si>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</si>
  <si>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</si>
  <si>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</si>
  <si>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</si>
  <si>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</si>
  <si>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</si>
  <si>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</si>
  <si>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</si>
  <si>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</si>
  <si>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</si>
  <si>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</si>
  <si>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</si>
  <si>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</si>
  <si>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</si>
  <si>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</si>
  <si>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</si>
  <si>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</si>
  <si>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</si>
  <si>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</si>
  <si>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</si>
  <si>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</si>
  <si>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</si>
  <si>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</si>
  <si>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</si>
  <si>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</si>
  <si>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</si>
  <si>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</si>
  <si>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</si>
  <si>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</si>
  <si>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</si>
  <si>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</si>
  <si>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</si>
  <si>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</si>
  <si>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</si>
  <si>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</si>
  <si>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</si>
  <si>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</si>
  <si>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</si>
  <si>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</si>
  <si>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</si>
  <si>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</si>
  <si>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</si>
  <si>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</si>
  <si>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</si>
  <si>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</si>
  <si>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</si>
  <si>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</si>
  <si>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</si>
  <si>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</si>
  <si>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</si>
  <si>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</si>
  <si>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</si>
  <si>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</si>
  <si>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</si>
  <si>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</si>
  <si>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</si>
  <si>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</si>
  <si>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</si>
  <si>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</si>
  <si>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</si>
  <si>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</si>
  <si>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</si>
  <si>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</si>
  <si>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</si>
  <si>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</si>
  <si>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</si>
  <si>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</si>
  <si>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</si>
  <si>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</si>
  <si>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</si>
  <si>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</si>
  <si>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</si>
  <si>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</si>
  <si>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</si>
  <si>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</si>
  <si>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</si>
  <si>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</si>
  <si>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</si>
  <si>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</si>
  <si>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</si>
  <si>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</si>
  <si>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</si>
  <si>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</si>
  <si>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</si>
  <si>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</si>
  <si>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</si>
  <si>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</si>
  <si>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</si>
  <si>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</si>
  <si>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</si>
  <si>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</si>
  <si>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</si>
  <si>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</si>
  <si>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</si>
  <si>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</si>
  <si>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</si>
  <si>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</si>
  <si>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</si>
  <si>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</si>
  <si>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</si>
  <si>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</si>
  <si>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</si>
  <si>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</si>
  <si>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</si>
  <si>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</si>
  <si>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</si>
  <si>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</si>
  <si>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</si>
  <si>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</si>
  <si>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</si>
  <si>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</si>
  <si>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</si>
  <si>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</si>
  <si>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</si>
  <si>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</si>
  <si>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</si>
  <si>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</si>
  <si>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</si>
  <si>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</si>
  <si>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</si>
  <si>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</si>
  <si>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</si>
  <si>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</si>
  <si>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</si>
  <si>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</si>
  <si>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</si>
  <si>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</si>
  <si>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</si>
  <si>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</si>
  <si>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</si>
  <si>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</si>
  <si>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</si>
  <si>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</si>
  <si>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</si>
  <si>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</si>
  <si>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</si>
  <si>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</si>
  <si>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</si>
  <si>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</si>
  <si>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</si>
  <si>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</si>
  <si>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</si>
  <si>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</si>
  <si>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</si>
  <si>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</si>
  <si>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</si>
  <si>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</si>
  <si>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</si>
  <si>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</si>
  <si>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</si>
  <si>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</si>
  <si>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</si>
  <si>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</si>
  <si>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</si>
  <si>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</si>
  <si>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</si>
  <si>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</si>
  <si>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</si>
  <si>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</si>
  <si>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</si>
  <si>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</si>
  <si>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</si>
  <si>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</si>
  <si>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</si>
  <si>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</si>
  <si>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</si>
  <si>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</si>
  <si>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</si>
  <si>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</si>
  <si>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</si>
  <si>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</si>
  <si>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</si>
  <si>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</si>
  <si>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</si>
  <si>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</si>
  <si>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</si>
  <si>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</si>
  <si>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</si>
  <si>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</si>
  <si>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</si>
  <si>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</si>
  <si>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</si>
  <si>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</si>
  <si>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</si>
  <si>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</si>
  <si>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</si>
  <si>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</si>
  <si>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</si>
  <si>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</si>
  <si>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</si>
  <si>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</si>
  <si>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</si>
  <si>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</si>
  <si>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</si>
  <si>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</si>
  <si>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</si>
  <si>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</si>
  <si>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</si>
  <si>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</si>
  <si>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</si>
  <si>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</si>
  <si>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</si>
  <si>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</si>
  <si>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</si>
  <si>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</si>
  <si>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</si>
  <si>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</si>
  <si>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</si>
  <si>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</si>
  <si>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</si>
  <si>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</si>
  <si>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</si>
  <si>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</si>
  <si>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</si>
  <si>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</si>
  <si>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</si>
  <si>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</si>
  <si>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</si>
  <si>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</si>
  <si>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</si>
  <si>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</si>
  <si>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</si>
  <si>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</si>
  <si>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</si>
  <si>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</si>
  <si>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</si>
  <si>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</si>
  <si>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</si>
  <si>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</si>
  <si>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</si>
  <si>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</si>
  <si>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</si>
  <si>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</si>
  <si>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</si>
  <si>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</si>
  <si>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</si>
  <si>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</si>
  <si>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</si>
  <si>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</si>
  <si>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</si>
  <si>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</si>
  <si>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</si>
  <si>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</si>
  <si>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</si>
  <si>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</si>
  <si>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</si>
  <si>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</si>
  <si>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</si>
  <si>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</si>
  <si>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</si>
  <si>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</si>
  <si>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</si>
  <si>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</si>
  <si>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</si>
  <si>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</si>
  <si>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</si>
  <si>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</si>
  <si>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</si>
  <si>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</si>
  <si>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</si>
  <si>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</si>
  <si>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</si>
  <si>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</si>
  <si>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</si>
  <si>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</si>
  <si>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</si>
  <si>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</si>
  <si>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</si>
  <si>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</si>
  <si>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</si>
  <si>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</si>
  <si>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</si>
  <si>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</si>
  <si>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</si>
  <si>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</si>
  <si>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</si>
  <si>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</si>
  <si>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</si>
  <si>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</si>
  <si>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</si>
  <si>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</si>
  <si>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</si>
  <si>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</si>
  <si>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</si>
  <si>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</si>
  <si>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</si>
  <si>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</si>
  <si>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</si>
  <si>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</si>
  <si>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</si>
  <si>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</si>
  <si>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</si>
  <si>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</si>
  <si>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</si>
  <si>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</si>
  <si>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</si>
  <si>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</si>
  <si>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</si>
  <si>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</si>
  <si>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</si>
  <si>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</si>
  <si>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</si>
  <si>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</si>
  <si>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</si>
  <si>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</si>
  <si>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</si>
  <si>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</si>
  <si>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</si>
  <si>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</si>
  <si>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</si>
  <si>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</si>
  <si>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</si>
  <si>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</si>
  <si>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</si>
  <si>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</si>
  <si>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</si>
  <si>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</si>
  <si>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</si>
  <si>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</si>
  <si>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</si>
  <si>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</si>
  <si>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</si>
  <si>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</si>
  <si>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</si>
  <si>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</si>
  <si>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</si>
  <si>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</si>
  <si>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</si>
  <si>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</si>
  <si>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</si>
  <si>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</si>
  <si>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</si>
  <si>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</si>
  <si>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</si>
  <si>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</si>
  <si>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</si>
  <si>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</si>
  <si>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</si>
  <si>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</si>
  <si>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</si>
  <si>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</si>
  <si>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</si>
  <si>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</si>
  <si>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</si>
  <si>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</si>
  <si>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</si>
  <si>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</si>
  <si>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</si>
  <si>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</si>
  <si>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</si>
  <si>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</si>
  <si>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</si>
  <si>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</si>
  <si>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</si>
  <si>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</si>
  <si>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</si>
  <si>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</si>
  <si>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</si>
  <si>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</si>
  <si>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</si>
  <si>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</si>
  <si>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</si>
  <si>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</si>
  <si>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</si>
  <si>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</si>
  <si>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</si>
  <si>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</si>
  <si>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</si>
  <si>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</si>
  <si>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</si>
  <si>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</si>
  <si>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</si>
  <si>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</si>
  <si>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</si>
  <si>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</si>
  <si>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</si>
  <si>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</si>
  <si>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</si>
  <si>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</si>
  <si>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</si>
  <si>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</si>
  <si>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</si>
  <si>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</si>
  <si>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</si>
  <si>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</si>
  <si>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</si>
  <si>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</si>
  <si>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</si>
  <si>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</si>
  <si>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</si>
  <si>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</si>
  <si>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</si>
  <si>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</si>
  <si>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</si>
  <si>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</si>
  <si>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</si>
  <si>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</si>
  <si>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</si>
  <si>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</si>
  <si>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</si>
  <si>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</si>
  <si>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</si>
  <si>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</si>
  <si>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</si>
  <si>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</si>
  <si>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</si>
  <si>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</si>
  <si>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</si>
  <si>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</si>
  <si>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</si>
  <si>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</si>
  <si>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</si>
  <si>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</si>
  <si>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</si>
  <si>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</si>
  <si>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</si>
  <si>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</si>
  <si>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</si>
  <si>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</si>
  <si>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</si>
  <si>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</si>
  <si>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</si>
  <si>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</si>
  <si>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</si>
  <si>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</si>
  <si>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</si>
  <si>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</si>
  <si>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</si>
  <si>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</si>
  <si>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</si>
  <si>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</si>
  <si>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</si>
  <si>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</si>
  <si>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</si>
  <si>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</si>
  <si>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</si>
  <si>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</si>
  <si>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</si>
  <si>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</si>
  <si>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</si>
  <si>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</si>
  <si>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</si>
  <si>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</si>
  <si>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</si>
  <si>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</si>
  <si>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</si>
  <si>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</si>
  <si>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</si>
  <si>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</si>
  <si>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</si>
  <si>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</si>
  <si>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</si>
  <si>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</si>
  <si>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</si>
  <si>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</si>
  <si>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</si>
  <si>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</si>
  <si>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</si>
  <si>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</si>
  <si>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</si>
  <si>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</si>
  <si>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</si>
  <si>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</si>
  <si>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</si>
  <si>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</si>
  <si>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</si>
  <si>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</si>
  <si>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</si>
  <si>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</si>
  <si>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</si>
  <si>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</si>
  <si>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</si>
  <si>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</si>
  <si>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</si>
  <si>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</si>
  <si>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</si>
  <si>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</si>
  <si>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</si>
  <si>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</si>
  <si>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</si>
  <si>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</si>
  <si>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</si>
  <si>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</si>
  <si>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</si>
  <si>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</si>
  <si>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</si>
  <si>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</si>
  <si>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</si>
  <si>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</si>
  <si>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</si>
  <si>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</si>
  <si>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</si>
  <si>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</si>
  <si>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</si>
  <si>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</si>
  <si>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</si>
  <si>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</si>
  <si>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</si>
  <si>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</si>
  <si>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</si>
  <si>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</si>
  <si>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</si>
  <si>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</si>
  <si>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</si>
  <si>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</si>
  <si>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</si>
  <si>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</si>
  <si>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</si>
  <si>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</si>
  <si>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</si>
  <si>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</si>
  <si>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</si>
  <si>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</si>
  <si>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</si>
  <si>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</si>
  <si>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</si>
  <si>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</si>
  <si>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</si>
  <si>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</si>
  <si>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</si>
  <si>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</si>
  <si>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</si>
  <si>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</si>
  <si>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</si>
  <si>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</si>
  <si>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</si>
  <si>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</si>
  <si>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</si>
  <si>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</si>
  <si>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</si>
  <si>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</si>
  <si>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</si>
  <si>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</si>
  <si>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</si>
  <si>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</si>
  <si>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</si>
  <si>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</si>
  <si>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</si>
  <si>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</si>
  <si>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</si>
  <si>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</si>
  <si>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</si>
  <si>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</si>
  <si>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</si>
  <si>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</si>
  <si>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</si>
  <si>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</si>
  <si>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</si>
  <si>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</si>
  <si>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</si>
  <si>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</si>
  <si>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</si>
  <si>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</si>
  <si>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</si>
  <si>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</si>
  <si>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</si>
  <si>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</si>
  <si>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</si>
  <si>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</si>
  <si>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</si>
  <si>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</si>
  <si>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</si>
  <si>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</si>
  <si>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</si>
  <si>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</si>
  <si>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</si>
  <si>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</si>
  <si>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</si>
  <si>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</si>
  <si>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</si>
  <si>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</si>
  <si>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</si>
  <si>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</si>
  <si>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</si>
  <si>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</si>
  <si>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</si>
  <si>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</si>
  <si>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</si>
  <si>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</si>
  <si>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</si>
  <si>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</si>
  <si>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</si>
  <si>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</si>
  <si>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</si>
  <si>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</si>
  <si>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</si>
  <si>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</si>
  <si>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</si>
  <si>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</si>
  <si>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</si>
  <si>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</si>
  <si>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</si>
  <si>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</si>
  <si>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</si>
  <si>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</si>
  <si>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</si>
  <si>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</si>
  <si>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</si>
  <si>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</si>
  <si>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</si>
  <si>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</si>
  <si>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</si>
  <si>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</si>
  <si>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</si>
  <si>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</si>
  <si>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</si>
  <si>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</si>
  <si>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</si>
  <si>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</si>
  <si>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</si>
  <si>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</si>
  <si>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</si>
  <si>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</si>
  <si>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</si>
  <si>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</si>
  <si>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</si>
  <si>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</si>
  <si>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</si>
  <si>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</si>
  <si>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</si>
  <si>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</si>
  <si>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</si>
  <si>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</si>
  <si>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</si>
  <si>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</si>
  <si>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</si>
  <si>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</si>
  <si>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</si>
  <si>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</si>
  <si>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</si>
  <si>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</si>
  <si>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</si>
  <si>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</si>
  <si>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</si>
  <si>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</si>
  <si>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</si>
  <si>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</si>
  <si>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</si>
  <si>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</si>
  <si>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</si>
  <si>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</si>
  <si>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</si>
  <si>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</si>
  <si>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</si>
  <si>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</si>
  <si>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</si>
  <si>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</si>
  <si>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</si>
  <si>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</si>
  <si>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</si>
  <si>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</si>
  <si>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</si>
  <si>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</si>
  <si>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</si>
  <si>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</si>
  <si>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</si>
  <si>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</si>
  <si>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</si>
  <si>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</si>
  <si>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</si>
  <si>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</si>
  <si>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</si>
  <si>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</si>
  <si>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</si>
  <si>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</si>
  <si>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</si>
  <si>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</si>
  <si>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</si>
  <si>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</si>
  <si>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</si>
  <si>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</si>
  <si>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</si>
  <si>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</si>
  <si>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</si>
  <si>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</si>
  <si>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</si>
  <si>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</si>
  <si>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</si>
  <si>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</si>
  <si>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</si>
  <si>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</si>
  <si>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</si>
  <si>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</si>
  <si>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</si>
  <si>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</si>
  <si>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</si>
  <si>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</si>
  <si>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</si>
  <si>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</si>
  <si>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</si>
  <si>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</si>
  <si>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</si>
  <si>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</si>
  <si>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</si>
  <si>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</si>
  <si>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</si>
  <si>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</si>
  <si>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</si>
  <si>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</si>
  <si>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</si>
  <si>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</si>
  <si>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</si>
  <si>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</si>
  <si>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</si>
  <si>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</si>
  <si>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</si>
  <si>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</si>
  <si>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</si>
  <si>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</si>
  <si>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</si>
  <si>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</si>
  <si>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</si>
  <si>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</si>
  <si>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</si>
  <si>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</si>
  <si>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</si>
  <si>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</si>
  <si>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</si>
  <si>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</si>
  <si>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</si>
  <si>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</si>
  <si>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</si>
  <si>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</si>
  <si>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</si>
  <si>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</si>
  <si>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</si>
  <si>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</si>
  <si>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</si>
  <si>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</si>
  <si>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</si>
  <si>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</si>
  <si>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</si>
  <si>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</si>
  <si>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</si>
  <si>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</si>
  <si>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</si>
  <si>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</si>
  <si>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</si>
  <si>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</si>
  <si>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</si>
  <si>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</si>
  <si>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</si>
  <si>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</si>
  <si>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</si>
  <si>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</si>
  <si>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</si>
  <si>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</si>
  <si>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</si>
  <si>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</si>
  <si>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</si>
  <si>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</si>
  <si>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</si>
  <si>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</si>
  <si>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</si>
  <si>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</si>
  <si>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</si>
  <si>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</si>
  <si>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</si>
  <si>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</si>
  <si>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</si>
  <si>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</si>
  <si>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</si>
  <si>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</si>
  <si>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</si>
  <si>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</si>
  <si>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</si>
  <si>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</si>
  <si>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</si>
  <si>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</si>
  <si>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</si>
  <si>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</si>
  <si>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</si>
  <si>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</si>
  <si>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</si>
  <si>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</si>
  <si>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</si>
  <si>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</si>
  <si>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</si>
  <si>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</si>
  <si>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</si>
  <si>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</si>
  <si>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</si>
  <si>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</si>
  <si>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</si>
  <si>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</si>
  <si>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</si>
  <si>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</si>
  <si>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</si>
  <si>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</si>
  <si>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</si>
  <si>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</si>
  <si>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</si>
  <si>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</si>
  <si>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</si>
  <si>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</si>
  <si>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</si>
  <si>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</si>
  <si>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</si>
  <si>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</si>
  <si>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</si>
  <si>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</si>
  <si>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</si>
  <si>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</si>
  <si>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</si>
  <si>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</si>
  <si>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</si>
  <si>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</si>
  <si>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</si>
  <si>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</si>
  <si>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</si>
  <si>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</si>
  <si>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</si>
  <si>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</si>
  <si>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</si>
  <si>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</si>
  <si>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</si>
  <si>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</si>
  <si>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</si>
  <si>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</si>
  <si>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</si>
  <si>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</si>
  <si>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</si>
  <si>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</si>
  <si>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</si>
  <si>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</si>
  <si>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</si>
  <si>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</si>
  <si>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</si>
  <si>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</si>
  <si>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</si>
  <si>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</si>
  <si>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</si>
  <si>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</si>
  <si>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</si>
  <si>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</si>
  <si>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</si>
  <si>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</si>
  <si>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</si>
  <si>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</si>
  <si>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</si>
  <si>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</si>
  <si>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</si>
  <si>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</si>
  <si>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</si>
  <si>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</si>
  <si>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</si>
  <si>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</si>
  <si>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</si>
  <si>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</si>
  <si>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</si>
  <si>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</si>
  <si>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</si>
  <si>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</si>
  <si>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</si>
  <si>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</si>
  <si>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</si>
  <si>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</si>
  <si>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</si>
  <si>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</si>
  <si>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</si>
  <si>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</si>
  <si>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</si>
  <si>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</si>
  <si>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</si>
  <si>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</si>
  <si>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</si>
  <si>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</si>
  <si>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</si>
  <si>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</si>
  <si>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</si>
  <si>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</si>
  <si>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</si>
  <si>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</si>
  <si>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</si>
  <si>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</si>
  <si>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</si>
  <si>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</si>
  <si>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</si>
  <si>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</si>
  <si>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</si>
  <si>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</si>
  <si>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</si>
  <si>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</si>
  <si>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</si>
  <si>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</si>
  <si>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</si>
  <si>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</si>
  <si>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</si>
  <si>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</si>
  <si>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</si>
  <si>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</si>
  <si>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</si>
  <si>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</si>
  <si>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</si>
  <si>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</si>
  <si>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</si>
  <si>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</si>
  <si>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</si>
  <si>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</si>
  <si>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</si>
  <si>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</si>
  <si>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</si>
  <si>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</si>
  <si>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</si>
  <si>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</si>
  <si>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</si>
  <si>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</si>
  <si>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</si>
  <si>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</si>
  <si>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</si>
  <si>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</si>
  <si>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</si>
  <si>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</si>
  <si>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</si>
  <si>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</si>
  <si>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</si>
  <si>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</si>
  <si>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</si>
  <si>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</si>
  <si>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</si>
  <si>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</si>
  <si>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</si>
  <si>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</si>
  <si>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</si>
  <si>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</si>
  <si>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</si>
  <si>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</si>
  <si>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</si>
  <si>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</si>
  <si>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</si>
  <si>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</si>
  <si>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</si>
  <si>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</si>
  <si>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</si>
  <si>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</si>
  <si>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</si>
  <si>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</si>
  <si>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</si>
  <si>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</si>
  <si>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</si>
  <si>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</si>
  <si>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</si>
  <si>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</si>
  <si>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</si>
  <si>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</si>
  <si>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</si>
  <si>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</si>
  <si>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</si>
  <si>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</si>
  <si>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</si>
  <si>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</si>
  <si>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</si>
  <si>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</si>
  <si>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</si>
  <si>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</si>
  <si>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</si>
  <si>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</si>
  <si>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</si>
  <si>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</si>
  <si>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</si>
  <si>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</si>
  <si>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</si>
  <si>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</si>
  <si>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</si>
  <si>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</si>
  <si>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</si>
  <si>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</si>
  <si>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</si>
  <si>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</si>
  <si>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</si>
  <si>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</si>
  <si>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</si>
  <si>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</si>
  <si>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</si>
  <si>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</si>
  <si>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</si>
  <si>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</si>
  <si>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</si>
  <si>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</si>
  <si>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</si>
  <si>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</si>
  <si>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</si>
  <si>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</si>
  <si>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</si>
  <si>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</si>
  <si>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</si>
  <si>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</si>
  <si>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</si>
  <si>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</si>
  <si>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</si>
  <si>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</si>
  <si>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</si>
  <si>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</si>
  <si>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</si>
  <si>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</si>
  <si>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</si>
  <si>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</si>
  <si>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</si>
  <si>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</si>
  <si>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</si>
  <si>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</si>
  <si>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</si>
  <si>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</si>
  <si>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</si>
  <si>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</si>
  <si>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</si>
  <si>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</si>
  <si>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</si>
  <si>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</si>
  <si>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</si>
  <si>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</si>
  <si>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</si>
  <si>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</si>
  <si>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</si>
  <si>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</si>
  <si>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</si>
  <si>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</si>
  <si>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</si>
  <si>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</si>
  <si>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</si>
  <si>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</si>
  <si>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</si>
  <si>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</si>
  <si>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</si>
  <si>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</si>
  <si>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</si>
  <si>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</si>
  <si>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</si>
  <si>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</si>
  <si>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</si>
  <si>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</si>
  <si>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</si>
  <si>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</si>
  <si>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</si>
  <si>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</si>
  <si>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</si>
  <si>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</si>
  <si>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</si>
  <si>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</si>
  <si>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</si>
  <si>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</si>
  <si>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</si>
  <si>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</si>
  <si>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</si>
  <si>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</si>
  <si>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</si>
  <si>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</si>
  <si>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</si>
  <si>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</si>
  <si>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</si>
  <si>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</si>
  <si>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</si>
  <si>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</si>
  <si>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</si>
  <si>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</si>
  <si>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</si>
  <si>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</si>
  <si>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</si>
  <si>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</si>
  <si>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</si>
  <si>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</si>
  <si>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</si>
  <si>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</si>
  <si>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</si>
  <si>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</si>
  <si>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</si>
  <si>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</si>
  <si>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</si>
  <si>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</si>
  <si>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</si>
  <si>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</si>
  <si>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</si>
  <si>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</si>
  <si>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</si>
  <si>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</si>
  <si>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</si>
  <si>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</si>
  <si>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</si>
  <si>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</si>
  <si>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</si>
  <si>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</si>
  <si>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</si>
  <si>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</si>
  <si>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</si>
  <si>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</si>
  <si>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</si>
  <si>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</si>
  <si>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</si>
  <si>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</si>
  <si>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</si>
  <si>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</si>
  <si>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</si>
  <si>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</si>
  <si>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</si>
  <si>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</si>
  <si>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</si>
  <si>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</si>
  <si>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</si>
  <si>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</si>
  <si>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</si>
  <si>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</si>
  <si>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</si>
  <si>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</si>
  <si>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</si>
  <si>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</si>
  <si>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</si>
  <si>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</si>
  <si>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</si>
  <si>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</si>
  <si>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</si>
  <si>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</si>
  <si>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</si>
  <si>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</si>
  <si>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</si>
  <si>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</si>
  <si>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</si>
  <si>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</si>
  <si>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</si>
  <si>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</si>
  <si>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</si>
  <si>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</si>
  <si>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</si>
  <si>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</si>
  <si>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</si>
  <si>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</si>
  <si>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</si>
  <si>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</si>
  <si>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</si>
  <si>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</si>
  <si>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</si>
  <si>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</si>
  <si>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</si>
  <si>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</si>
  <si>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</si>
  <si>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</si>
  <si>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</si>
  <si>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</si>
  <si>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</si>
  <si>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</si>
  <si>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</si>
  <si>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</si>
  <si>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</si>
  <si>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</si>
  <si>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</si>
  <si>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</si>
  <si>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</si>
  <si>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</si>
  <si>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</si>
  <si>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</si>
  <si>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</si>
  <si>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</si>
  <si>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</si>
  <si>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</si>
  <si>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</si>
  <si>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</si>
  <si>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</si>
  <si>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</si>
  <si>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</si>
  <si>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</si>
  <si>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</si>
  <si>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</si>
  <si>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</si>
  <si>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</si>
  <si>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</si>
  <si>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</si>
  <si>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</si>
  <si>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</si>
  <si>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</si>
  <si>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</si>
  <si>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</si>
  <si>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</si>
  <si>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</si>
  <si>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</si>
  <si>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</si>
  <si>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</si>
  <si>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</si>
  <si>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</si>
  <si>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</si>
  <si>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</si>
  <si>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</si>
  <si>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</si>
  <si>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</si>
  <si>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</si>
  <si>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</si>
  <si>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</si>
  <si>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</si>
  <si>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</si>
  <si>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</si>
  <si>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</si>
  <si>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</si>
  <si>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</si>
  <si>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</si>
  <si>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</si>
  <si>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</si>
  <si>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</si>
  <si>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</si>
  <si>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</si>
  <si>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</si>
  <si>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</si>
  <si>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</si>
  <si>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</si>
  <si>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</si>
  <si>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</si>
  <si>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</si>
  <si>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</si>
  <si>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</si>
  <si>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</si>
  <si>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</si>
  <si>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</si>
  <si>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</si>
  <si>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</si>
  <si>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</si>
  <si>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</si>
  <si>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</si>
  <si>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</si>
  <si>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</si>
  <si>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</si>
  <si>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</si>
  <si>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</si>
  <si>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</si>
  <si>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</si>
  <si>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</si>
  <si>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</si>
  <si>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</si>
  <si>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</si>
  <si>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</si>
  <si>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</si>
  <si>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</si>
  <si>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</si>
  <si>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</si>
  <si>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</si>
  <si>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</si>
  <si>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</si>
  <si>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</si>
  <si>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</si>
  <si>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</si>
  <si>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</si>
  <si>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</si>
  <si>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</si>
  <si>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</si>
  <si>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</si>
  <si>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</si>
  <si>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</si>
  <si>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</si>
  <si>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</si>
  <si>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</si>
  <si>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</si>
  <si>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</si>
  <si>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</si>
  <si>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</si>
  <si>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</si>
  <si>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</si>
  <si>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</si>
  <si>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</si>
  <si>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</si>
  <si>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</si>
  <si>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</si>
  <si>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</si>
  <si>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</si>
  <si>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</si>
  <si>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</si>
  <si>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</si>
  <si>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</si>
  <si>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</si>
  <si>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</si>
  <si>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</si>
  <si>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</si>
  <si>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</si>
  <si>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</si>
  <si>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</si>
  <si>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</si>
  <si>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</si>
  <si>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</si>
  <si>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</si>
  <si>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</si>
  <si>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</si>
  <si>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</si>
  <si>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</si>
  <si>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</si>
  <si>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</si>
  <si>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</si>
  <si>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</si>
  <si>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</si>
  <si>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</si>
  <si>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</si>
  <si>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</si>
  <si>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</si>
  <si>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</si>
  <si>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</si>
  <si>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</si>
  <si>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</si>
  <si>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</si>
  <si>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</si>
  <si>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</si>
  <si>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</si>
  <si>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</si>
  <si>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</si>
  <si>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</si>
  <si>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</si>
  <si>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</si>
  <si>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</si>
  <si>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</si>
  <si>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</si>
  <si>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</si>
  <si>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</si>
  <si>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</si>
  <si>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</si>
  <si>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</si>
  <si>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</si>
  <si>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</si>
  <si>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</si>
  <si>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</si>
  <si>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</si>
  <si>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</si>
  <si>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</si>
  <si>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</si>
  <si>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</si>
  <si>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</si>
  <si>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</si>
  <si>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</si>
  <si>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</si>
  <si>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</si>
  <si>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</si>
  <si>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</si>
  <si>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</si>
  <si>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</si>
  <si>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</si>
  <si>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</si>
  <si>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</si>
  <si>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</si>
  <si>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</si>
  <si>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</si>
  <si>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</si>
  <si>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</si>
  <si>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</si>
  <si>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</si>
  <si>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</si>
  <si>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</si>
  <si>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</si>
  <si>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</si>
  <si>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</si>
  <si>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</si>
  <si>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</si>
  <si>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</si>
  <si>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</si>
  <si>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</si>
  <si>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</si>
  <si>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</si>
  <si>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</si>
  <si>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</si>
  <si>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</si>
  <si>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</si>
  <si>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</si>
  <si>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</si>
  <si>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</si>
  <si>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</si>
  <si>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</si>
  <si>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</si>
  <si>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</si>
  <si>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</si>
  <si>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</si>
  <si>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</si>
  <si>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</si>
  <si>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</si>
  <si>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</si>
  <si>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</si>
  <si>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</si>
  <si>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</si>
  <si>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</si>
  <si>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</si>
  <si>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</si>
  <si>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</si>
  <si>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</si>
  <si>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</si>
  <si>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</si>
  <si>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</si>
  <si>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</si>
  <si>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</si>
  <si>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</si>
  <si>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</si>
  <si>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</si>
  <si>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</si>
  <si>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</si>
  <si>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</si>
  <si>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</si>
  <si>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</si>
  <si>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</si>
  <si>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</si>
  <si>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</si>
  <si>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</si>
  <si>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</si>
  <si>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</si>
  <si>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</si>
  <si>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</si>
  <si>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</si>
  <si>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</si>
  <si>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</si>
  <si>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</si>
  <si>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</si>
  <si>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</si>
  <si>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</si>
  <si>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</si>
  <si>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</si>
  <si>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</si>
  <si>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</si>
  <si>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</si>
  <si>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</si>
  <si>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</si>
  <si>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</si>
  <si>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</si>
  <si>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</si>
  <si>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</si>
  <si>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</si>
  <si>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</si>
  <si>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</si>
  <si>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</si>
  <si>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</si>
  <si>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</si>
  <si>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</si>
  <si>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</si>
  <si>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</si>
  <si>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</si>
  <si>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</si>
  <si>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</si>
  <si>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</si>
  <si>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</si>
  <si>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</si>
  <si>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</si>
  <si>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</si>
  <si>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</si>
  <si>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</si>
  <si>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</si>
  <si>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</si>
  <si>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</si>
  <si>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</si>
  <si>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</si>
  <si>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</si>
  <si>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</si>
  <si>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</si>
  <si>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</si>
  <si>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</si>
  <si>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</si>
  <si>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</si>
  <si>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</si>
  <si>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</si>
  <si>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</si>
  <si>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</si>
  <si>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</si>
  <si>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</si>
  <si>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</si>
  <si>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</si>
  <si>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</si>
  <si>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</si>
  <si>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</si>
  <si>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</si>
  <si>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</si>
  <si>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</si>
  <si>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</si>
  <si>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</si>
  <si>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</si>
  <si>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</si>
  <si>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</si>
  <si>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</si>
  <si>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</si>
  <si>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</si>
  <si>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</si>
  <si>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</si>
  <si>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</si>
  <si>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</si>
  <si>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</si>
  <si>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</si>
  <si>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</si>
  <si>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</si>
  <si>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</si>
  <si>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</si>
  <si>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</si>
  <si>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</si>
  <si>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</si>
  <si>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</si>
  <si>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</si>
  <si>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</si>
  <si>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</si>
  <si>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</si>
  <si>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</si>
  <si>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</si>
  <si>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</si>
  <si>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</si>
  <si>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</si>
  <si>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</si>
  <si>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</si>
  <si>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</si>
  <si>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</si>
  <si>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</si>
  <si>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</si>
  <si>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</si>
  <si>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</si>
  <si>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</si>
  <si>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</si>
  <si>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</si>
  <si>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</si>
  <si>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</si>
  <si>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</si>
  <si>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</si>
  <si>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</si>
  <si>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</si>
  <si>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</si>
  <si>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</si>
  <si>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</si>
  <si>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</si>
  <si>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</si>
  <si>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</si>
  <si>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</si>
  <si>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</si>
  <si>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</si>
  <si>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</si>
  <si>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</si>
  <si>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</si>
  <si>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</si>
  <si>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</si>
  <si>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</si>
  <si>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</si>
  <si>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</si>
  <si>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</si>
  <si>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</si>
  <si>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</si>
  <si>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</si>
  <si>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</si>
  <si>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</si>
  <si>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</si>
  <si>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</si>
  <si>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</si>
  <si>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</si>
  <si>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</si>
  <si>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</si>
  <si>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</si>
  <si>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</si>
  <si>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</si>
  <si>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</si>
  <si>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</si>
  <si>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</si>
  <si>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</si>
  <si>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</si>
  <si>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</si>
  <si>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</si>
  <si>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</si>
  <si>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</si>
  <si>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</si>
  <si>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</si>
  <si>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</si>
  <si>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</si>
  <si>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</si>
  <si>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</si>
  <si>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</si>
  <si>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</si>
  <si>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</si>
  <si>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</si>
  <si>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</si>
  <si>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</si>
  <si>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</si>
  <si>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</si>
  <si>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</si>
  <si>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</si>
  <si>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</si>
  <si>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</si>
  <si>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</si>
  <si>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</si>
  <si>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</si>
  <si>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</si>
  <si>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</si>
  <si>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</si>
  <si>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</si>
  <si>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</si>
  <si>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</si>
  <si>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</si>
  <si>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</si>
  <si>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</si>
  <si>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</si>
  <si>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</si>
  <si>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</si>
  <si>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</si>
  <si>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</si>
  <si>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</si>
  <si>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</si>
  <si>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</si>
  <si>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</si>
  <si>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</si>
  <si>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</si>
  <si>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</si>
  <si>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</si>
  <si>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</si>
  <si>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</si>
  <si>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</si>
  <si>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</si>
  <si>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</si>
  <si>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</si>
  <si>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</si>
  <si>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</si>
  <si>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</si>
  <si>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</si>
  <si>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</si>
  <si>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</si>
  <si>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</si>
  <si>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</si>
  <si>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</si>
  <si>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</si>
  <si>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</si>
  <si>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</si>
  <si>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</si>
  <si>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</si>
  <si>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</si>
  <si>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</si>
  <si>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</si>
  <si>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</si>
  <si>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</si>
  <si>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</si>
  <si>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</si>
  <si>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</si>
  <si>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</si>
  <si>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</si>
  <si>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</si>
  <si>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</si>
  <si>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</si>
  <si>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</si>
  <si>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</si>
  <si>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</si>
  <si>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</si>
  <si>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</si>
  <si>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</si>
  <si>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</si>
  <si>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</si>
  <si>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</si>
  <si>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</si>
  <si>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</si>
  <si>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</si>
  <si>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</si>
  <si>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</si>
  <si>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</si>
  <si>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</si>
  <si>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</si>
  <si>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</si>
  <si>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</si>
  <si>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</si>
  <si>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</si>
  <si>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</si>
  <si>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</si>
  <si>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</si>
  <si>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</si>
  <si>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</si>
  <si>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</si>
  <si>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</si>
  <si>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</si>
  <si>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</si>
  <si>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</si>
  <si>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</si>
  <si>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</si>
  <si>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</si>
  <si>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</si>
  <si>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</si>
  <si>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</si>
  <si>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</si>
  <si>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</si>
  <si>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</si>
  <si>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</si>
  <si>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</si>
  <si>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</si>
  <si>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</si>
  <si>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</si>
  <si>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</si>
  <si>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</si>
  <si>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</si>
  <si>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</si>
  <si>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</si>
  <si>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</si>
  <si>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</si>
  <si>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</si>
  <si>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</si>
  <si>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</si>
  <si>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</si>
  <si>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</si>
  <si>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</si>
  <si>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</si>
  <si>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</si>
  <si>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</si>
  <si>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</si>
  <si>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</si>
  <si>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</si>
  <si>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</si>
  <si>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</si>
  <si>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</si>
  <si>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</si>
  <si>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</si>
  <si>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</si>
  <si>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</si>
  <si>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</si>
  <si>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</si>
  <si>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</si>
  <si>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</si>
  <si>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</si>
  <si>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</si>
  <si>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</si>
  <si>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</si>
  <si>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</si>
  <si>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</si>
  <si>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</si>
  <si>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</si>
  <si>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</si>
  <si>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</si>
  <si>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</si>
  <si>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</si>
  <si>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</si>
  <si>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</si>
  <si>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</si>
  <si>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</si>
  <si>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</si>
  <si>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</si>
  <si>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</si>
  <si>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</si>
  <si>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</si>
  <si>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</si>
  <si>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</si>
  <si>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</si>
  <si>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</si>
  <si>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</si>
  <si>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</si>
  <si>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</si>
  <si>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</si>
  <si>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</si>
  <si>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</si>
  <si>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</si>
  <si>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</si>
  <si>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</si>
  <si>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</si>
  <si>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</si>
  <si>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</si>
  <si>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</si>
  <si>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</si>
  <si>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</si>
  <si>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</si>
  <si>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</si>
  <si>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</si>
  <si>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</si>
  <si>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</si>
  <si>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</si>
  <si>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</si>
  <si>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</si>
  <si>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</si>
  <si>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</si>
  <si>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</si>
  <si>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</si>
  <si>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</si>
  <si>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</si>
  <si>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</si>
  <si>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</si>
  <si>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</si>
  <si>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</si>
  <si>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</si>
  <si>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</si>
  <si>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</si>
  <si>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</si>
  <si>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</si>
  <si>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</si>
  <si>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</si>
  <si>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</si>
  <si>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</si>
  <si>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</si>
  <si>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</si>
  <si>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</si>
  <si>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</si>
  <si>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</si>
  <si>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</si>
  <si>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</si>
  <si>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</si>
  <si>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</si>
  <si>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</si>
  <si>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</si>
  <si>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</si>
  <si>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</si>
  <si>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</si>
  <si>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</si>
  <si>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</si>
  <si>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</si>
  <si>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</si>
  <si>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</si>
  <si>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</si>
  <si>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</si>
  <si>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</si>
  <si>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</si>
  <si>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</si>
  <si>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</si>
  <si>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</si>
  <si>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</si>
  <si>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</si>
  <si>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</si>
  <si>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</si>
  <si>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</si>
  <si>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</si>
  <si>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</si>
  <si>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</si>
  <si>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</si>
  <si>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</si>
  <si>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</si>
  <si>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</si>
  <si>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</si>
  <si>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</si>
  <si>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</si>
  <si>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</si>
  <si>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</si>
  <si>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</si>
  <si>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</si>
  <si>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</si>
  <si>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</si>
  <si>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</si>
  <si>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</si>
  <si>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</si>
  <si>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</si>
  <si>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</si>
  <si>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</si>
  <si>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</si>
  <si>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</si>
  <si>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</si>
  <si>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</si>
  <si>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</si>
  <si>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</si>
  <si>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</si>
  <si>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</si>
  <si>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</si>
  <si>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</si>
  <si>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</si>
  <si>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</si>
  <si>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</si>
  <si>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</si>
  <si>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</si>
  <si>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</si>
  <si>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</si>
  <si>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</si>
  <si>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</si>
  <si>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</si>
  <si>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</si>
  <si>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</si>
  <si>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</si>
  <si>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</si>
  <si>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</si>
  <si>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</si>
  <si>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</si>
  <si>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</si>
  <si>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</si>
  <si>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</si>
  <si>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</si>
  <si>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</si>
  <si>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</si>
  <si>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</si>
  <si>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</si>
  <si>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</si>
  <si>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</si>
  <si>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</si>
  <si>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</si>
  <si>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</si>
  <si>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</si>
  <si>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</si>
  <si>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</si>
  <si>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</si>
  <si>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</si>
  <si>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</si>
  <si>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</si>
  <si>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</si>
  <si>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</si>
  <si>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</si>
  <si>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</si>
  <si>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</si>
  <si>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</si>
  <si>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</si>
  <si>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</si>
  <si>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</si>
  <si>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</si>
  <si>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</si>
  <si>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</si>
  <si>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</si>
  <si>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</si>
  <si>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</si>
  <si>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</si>
  <si>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</si>
  <si>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</si>
  <si>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</si>
  <si>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</si>
  <si>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</si>
  <si>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</si>
  <si>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</si>
  <si>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</si>
  <si>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</si>
  <si>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</si>
  <si>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</si>
  <si>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</si>
  <si>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</si>
  <si>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</si>
  <si>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</si>
  <si>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</si>
  <si>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</si>
  <si>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</si>
  <si>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</si>
  <si>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</si>
  <si>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</si>
  <si>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</si>
  <si>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</si>
  <si>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</si>
  <si>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</si>
  <si>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</si>
  <si>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</si>
  <si>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</si>
  <si>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</si>
  <si>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</si>
  <si>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</si>
  <si>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</si>
  <si>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</si>
  <si>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</si>
  <si>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</si>
  <si>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</si>
  <si>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</si>
  <si>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</si>
  <si>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</si>
  <si>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</si>
  <si>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</si>
  <si>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</si>
  <si>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</si>
  <si>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</si>
  <si>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</si>
  <si>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</si>
  <si>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</si>
  <si>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</si>
  <si>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</si>
  <si>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</si>
  <si>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</si>
  <si>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</si>
  <si>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</si>
  <si>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</si>
  <si>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</si>
  <si>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</si>
  <si>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</si>
  <si>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</si>
  <si>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</si>
  <si>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</si>
  <si>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</si>
  <si>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</si>
  <si>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</si>
  <si>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</si>
  <si>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</si>
  <si>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</si>
  <si>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</si>
  <si>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</si>
  <si>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</si>
  <si>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</si>
  <si>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</si>
  <si>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</si>
  <si>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</si>
  <si>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</si>
  <si>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</si>
  <si>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</si>
  <si>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</si>
  <si>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</si>
  <si>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</si>
  <si>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</si>
  <si>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</si>
  <si>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</si>
  <si>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</si>
  <si>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</si>
  <si>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</si>
  <si>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</si>
  <si>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</si>
  <si>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</si>
  <si>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</si>
  <si>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</si>
  <si>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</si>
  <si>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</si>
  <si>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</si>
  <si>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</si>
  <si>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</si>
  <si>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</si>
  <si>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</si>
  <si>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</si>
  <si>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</si>
  <si>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</si>
  <si>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</si>
  <si>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</si>
  <si>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</si>
  <si>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</si>
  <si>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</si>
  <si>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</si>
  <si>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</si>
  <si>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</si>
  <si>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</si>
  <si>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</si>
  <si>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</si>
  <si>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</si>
  <si>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</si>
  <si>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</si>
  <si>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</si>
  <si>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</si>
  <si>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</si>
  <si>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</si>
  <si>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</si>
  <si>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</si>
  <si>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</si>
  <si>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</si>
  <si>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</si>
  <si>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</si>
  <si>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</si>
  <si>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</si>
  <si>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</si>
  <si>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</si>
  <si>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</si>
  <si>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</si>
  <si>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</si>
  <si>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</si>
  <si>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</si>
  <si>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</si>
  <si>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</si>
  <si>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</si>
  <si>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</si>
  <si>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</si>
  <si>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</si>
  <si>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</si>
  <si>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</si>
  <si>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</si>
  <si>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</si>
  <si>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</si>
  <si>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</si>
  <si>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</si>
  <si>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</si>
  <si>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</si>
  <si>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</si>
  <si>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</si>
  <si>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</si>
  <si>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</si>
  <si>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</si>
  <si>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</si>
  <si>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</si>
  <si>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</si>
  <si>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</si>
  <si>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</si>
  <si>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</si>
  <si>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</si>
  <si>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</si>
  <si>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</si>
  <si>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</si>
  <si>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</si>
  <si>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</si>
  <si>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</si>
  <si>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</si>
  <si>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</si>
  <si>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</si>
  <si>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</si>
  <si>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</si>
  <si>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</si>
  <si>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</si>
  <si>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</si>
  <si>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</si>
  <si>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</si>
  <si>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</si>
  <si>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</si>
  <si>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</si>
  <si>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</si>
  <si>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</si>
  <si>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</si>
  <si>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</si>
  <si>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</si>
  <si>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</si>
  <si>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</si>
  <si>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</si>
  <si>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</si>
  <si>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</si>
  <si>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</si>
  <si>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</si>
  <si>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</si>
  <si>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</si>
  <si>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</si>
  <si>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</si>
  <si>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</si>
  <si>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</si>
  <si>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</si>
  <si>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</si>
  <si>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</si>
  <si>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</si>
  <si>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</si>
  <si>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</si>
  <si>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</si>
  <si>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</si>
  <si>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</si>
  <si>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</si>
  <si>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</si>
  <si>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</si>
  <si>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</si>
  <si>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</si>
  <si>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</si>
  <si>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</si>
  <si>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</si>
  <si>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</si>
  <si>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</si>
  <si>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</si>
  <si>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</si>
  <si>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</si>
  <si>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</si>
  <si>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</si>
  <si>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</si>
  <si>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</si>
  <si>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</si>
  <si>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</si>
  <si>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</si>
  <si>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</si>
  <si>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</si>
  <si>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</si>
  <si>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</si>
  <si>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</si>
  <si>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</si>
  <si>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</si>
  <si>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</si>
  <si>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</si>
  <si>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</si>
  <si>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</si>
  <si>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</si>
  <si>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</si>
  <si>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</si>
  <si>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</si>
  <si>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</si>
  <si>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</si>
  <si>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</si>
  <si>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</si>
  <si>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</si>
  <si>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</si>
  <si>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</si>
  <si>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</si>
  <si>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</si>
  <si>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</si>
  <si>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</si>
  <si>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</si>
  <si>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</si>
  <si>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</si>
  <si>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</si>
  <si>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</si>
  <si>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</si>
  <si>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</si>
  <si>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</si>
  <si>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</si>
  <si>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</si>
  <si>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</si>
  <si>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</si>
  <si>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</si>
  <si>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</si>
  <si>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</si>
  <si>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</si>
  <si>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</si>
  <si>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</si>
  <si>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</si>
  <si>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</si>
  <si>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</si>
  <si>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</si>
  <si>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</si>
  <si>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</si>
  <si>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</si>
  <si>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</si>
  <si>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</si>
  <si>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</si>
  <si>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</si>
  <si>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</si>
  <si>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</si>
  <si>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</si>
  <si>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</si>
  <si>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</si>
  <si>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</si>
  <si>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</si>
  <si>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</si>
  <si>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</si>
  <si>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</si>
  <si>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</si>
  <si>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</si>
  <si>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</si>
  <si>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</si>
  <si>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</si>
  <si>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</si>
  <si>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</si>
  <si>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</si>
  <si>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</si>
  <si>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</si>
  <si>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</si>
  <si>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</si>
  <si>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</si>
  <si>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</si>
  <si>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</si>
  <si>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</si>
  <si>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</si>
  <si>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</si>
  <si>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</si>
  <si>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</si>
  <si>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</si>
  <si>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</si>
  <si>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</si>
  <si>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</si>
  <si>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</si>
  <si>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</si>
  <si>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</si>
  <si>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</si>
  <si>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</si>
  <si>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</si>
  <si>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</si>
  <si>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</si>
  <si>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</si>
  <si>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</si>
  <si>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</si>
  <si>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</si>
  <si>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</si>
  <si>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</si>
  <si>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</si>
  <si>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</si>
  <si>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</si>
  <si>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</si>
  <si>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</si>
  <si>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</si>
  <si>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</si>
  <si>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</si>
  <si>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</si>
  <si>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</si>
  <si>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</si>
  <si>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</si>
  <si>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</si>
  <si>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</si>
  <si>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</si>
  <si>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</si>
  <si>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</si>
  <si>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</si>
  <si>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</si>
  <si>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</si>
  <si>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</si>
  <si>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</si>
  <si>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</si>
  <si>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</si>
  <si>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</si>
  <si>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</si>
  <si>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</si>
  <si>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</si>
  <si>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</si>
  <si>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</si>
  <si>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</si>
  <si>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</si>
  <si>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</si>
  <si>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</si>
  <si>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</si>
  <si>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</si>
  <si>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</si>
  <si>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</si>
  <si>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</si>
  <si>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</si>
  <si>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</si>
  <si>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</si>
  <si>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</si>
  <si>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</si>
  <si>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</si>
  <si>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</si>
  <si>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</si>
  <si>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</si>
  <si>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</si>
  <si>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</si>
  <si>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</si>
  <si>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</si>
  <si>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</si>
  <si>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</si>
  <si>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</si>
  <si>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</si>
  <si>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</si>
  <si>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</si>
  <si>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</si>
  <si>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</si>
  <si>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</si>
  <si>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</si>
  <si>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</si>
  <si>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</si>
  <si>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</si>
  <si>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</si>
  <si>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</si>
  <si>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</si>
  <si>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</si>
  <si>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</si>
  <si>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</si>
  <si>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</si>
  <si>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</si>
  <si>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</si>
  <si>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</si>
  <si>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</si>
  <si>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</si>
  <si>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</si>
  <si>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</si>
  <si>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</si>
  <si>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</si>
  <si>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</si>
  <si>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</si>
  <si>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</si>
  <si>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</si>
  <si>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</si>
  <si>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</si>
  <si>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</si>
  <si>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</si>
  <si>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</si>
  <si>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</si>
  <si>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</si>
  <si>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</si>
  <si>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</si>
  <si>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</si>
  <si>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</si>
  <si>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</si>
  <si>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</si>
  <si>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</si>
  <si>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</si>
  <si>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</si>
  <si>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</si>
  <si>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</si>
  <si>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</si>
  <si>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</si>
  <si>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</si>
  <si>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</si>
  <si>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</si>
  <si>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</si>
  <si>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</si>
  <si>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</si>
  <si>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</si>
  <si>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</si>
  <si>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</si>
  <si>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</si>
  <si>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</si>
  <si>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</si>
  <si>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</si>
  <si>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</si>
  <si>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</si>
  <si>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</si>
  <si>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</si>
  <si>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</si>
  <si>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</si>
  <si>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</si>
  <si>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</si>
  <si>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</si>
  <si>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</si>
  <si>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</si>
  <si>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</si>
  <si>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</si>
  <si>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</si>
  <si>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</si>
  <si>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</si>
  <si>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</si>
  <si>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</si>
  <si>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</si>
  <si>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</si>
  <si>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</si>
  <si>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</si>
  <si>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</si>
  <si>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</si>
  <si>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</si>
  <si>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</si>
  <si>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</si>
  <si>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</si>
  <si>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</si>
  <si>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</si>
  <si>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</si>
  <si>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</si>
  <si>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</si>
  <si>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</si>
  <si>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</si>
  <si>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</si>
  <si>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</si>
  <si>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</si>
  <si>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</si>
  <si>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</si>
  <si>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</si>
  <si>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</si>
  <si>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</si>
  <si>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</si>
  <si>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</si>
  <si>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</si>
  <si>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</si>
  <si>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</si>
  <si>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</si>
  <si>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</si>
  <si>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</si>
  <si>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</si>
  <si>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</si>
  <si>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</si>
  <si>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</si>
  <si>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</si>
  <si>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</si>
  <si>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</si>
  <si>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</si>
  <si>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</si>
  <si>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</si>
  <si>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</si>
  <si>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</si>
  <si>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</si>
  <si>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</si>
  <si>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</si>
  <si>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</si>
  <si>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</si>
  <si>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</si>
  <si>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</si>
  <si>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</si>
  <si>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</si>
  <si>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</si>
  <si>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</si>
  <si>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</si>
  <si>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</si>
  <si>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</si>
  <si>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</si>
  <si>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</si>
  <si>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</si>
  <si>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</si>
  <si>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</si>
  <si>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</si>
  <si>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</si>
  <si>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</si>
  <si>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</si>
  <si>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</si>
  <si>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</si>
  <si>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</si>
  <si>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</si>
  <si>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</si>
  <si>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</si>
  <si>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</si>
  <si>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</si>
  <si>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</si>
  <si>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</si>
  <si>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</si>
  <si>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</si>
  <si>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</si>
  <si>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</si>
  <si>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</si>
  <si>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</si>
  <si>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</si>
  <si>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</si>
  <si>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</si>
  <si>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</si>
  <si>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</si>
  <si>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</si>
  <si>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</si>
  <si>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</si>
  <si>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</si>
  <si>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</si>
  <si>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</si>
  <si>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</si>
  <si>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</si>
  <si>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</si>
  <si>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</si>
  <si>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</si>
  <si>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</si>
  <si>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</si>
  <si>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</si>
  <si>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</si>
  <si>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</si>
  <si>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</si>
  <si>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</si>
  <si>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</si>
  <si>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</si>
  <si>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</si>
  <si>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</si>
  <si>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</si>
  <si>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</si>
  <si>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</si>
  <si>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</si>
  <si>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</si>
  <si>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</si>
  <si>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</si>
  <si>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</si>
  <si>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</si>
  <si>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</si>
  <si>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</si>
  <si>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</si>
  <si>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</si>
  <si>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</si>
  <si>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</si>
  <si>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</si>
  <si>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</si>
  <si>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</si>
  <si>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</si>
  <si>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</si>
  <si>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</si>
  <si>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</si>
  <si>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</si>
  <si>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</si>
  <si>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</si>
  <si>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</si>
  <si>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</si>
  <si>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</si>
  <si>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</si>
  <si>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</si>
  <si>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</si>
  <si>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</si>
  <si>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</si>
  <si>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</si>
  <si>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</si>
  <si>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</si>
  <si>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</si>
  <si>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</si>
  <si>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</si>
  <si>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</si>
  <si>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</si>
  <si>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</si>
  <si>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</si>
  <si>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</si>
  <si>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</si>
  <si>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</si>
  <si>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</si>
  <si>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</si>
  <si>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</si>
  <si>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</si>
  <si>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</si>
  <si>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</si>
  <si>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</si>
  <si>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</si>
  <si>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</si>
  <si>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</si>
  <si>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</si>
  <si>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</si>
  <si>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</si>
  <si>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</si>
  <si>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</si>
  <si>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</si>
  <si>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</si>
  <si>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</si>
  <si>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</si>
  <si>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</si>
  <si>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</si>
  <si>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</si>
  <si>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</si>
  <si>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</si>
  <si>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</si>
  <si>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</si>
  <si>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</si>
  <si>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</si>
  <si>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</si>
  <si>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</si>
  <si>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</si>
  <si>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</si>
  <si>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</si>
  <si>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</si>
  <si>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</si>
  <si>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</si>
  <si>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</si>
  <si>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</si>
  <si>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</si>
  <si>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</si>
  <si>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</si>
  <si>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</si>
  <si>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</si>
  <si>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</si>
  <si>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</si>
  <si>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</si>
  <si>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</si>
  <si>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</si>
  <si>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</si>
  <si>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</si>
  <si>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</si>
  <si>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</si>
  <si>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</si>
  <si>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</si>
  <si>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</si>
  <si>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</si>
  <si>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</si>
  <si>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</si>
  <si>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</si>
  <si>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</si>
  <si>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</si>
  <si>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</si>
  <si>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</si>
  <si>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</si>
  <si>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</si>
  <si>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</si>
  <si>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</si>
  <si>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</si>
  <si>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</si>
  <si>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</si>
  <si>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</si>
  <si>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</si>
  <si>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</si>
  <si>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</si>
  <si>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</si>
  <si>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</si>
  <si>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</si>
  <si>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</si>
  <si>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</si>
  <si>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</si>
  <si>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</si>
  <si>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</si>
  <si>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</si>
  <si>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</si>
  <si>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</si>
  <si>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</si>
  <si>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</si>
  <si>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</si>
  <si>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</si>
  <si>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</si>
  <si>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</si>
  <si>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</si>
  <si>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</si>
  <si>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</si>
  <si>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</si>
  <si>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</si>
  <si>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</si>
  <si>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</si>
  <si>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</si>
  <si>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</si>
  <si>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</si>
  <si>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</si>
  <si>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</si>
  <si>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</si>
  <si>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</si>
  <si>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</si>
  <si>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</si>
  <si>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</si>
  <si>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</si>
  <si>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</si>
  <si>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</si>
  <si>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</si>
  <si>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</si>
  <si>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</si>
  <si>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</si>
  <si>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</si>
  <si>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</si>
  <si>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</si>
  <si>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</si>
  <si>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</si>
  <si>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</si>
  <si>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</si>
  <si>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</si>
  <si>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</si>
  <si>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</si>
  <si>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</si>
  <si>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</si>
  <si>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</si>
  <si>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</si>
  <si>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</si>
  <si>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</si>
  <si>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</si>
  <si>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</si>
  <si>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</si>
  <si>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</si>
  <si>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</si>
  <si>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</si>
  <si>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</si>
  <si>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</si>
  <si>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</si>
  <si>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</si>
  <si>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</si>
  <si>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</si>
  <si>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</si>
  <si>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</si>
  <si>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</si>
  <si>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</si>
  <si>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</si>
  <si>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</si>
  <si>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</si>
  <si>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</si>
  <si>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</si>
  <si>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</si>
  <si>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</si>
  <si>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</si>
  <si>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</si>
  <si>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</si>
  <si>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</si>
  <si>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</si>
  <si>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</si>
  <si>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</si>
  <si>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</si>
  <si>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</si>
  <si>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</si>
  <si>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</si>
  <si>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</si>
  <si>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</si>
  <si>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</si>
  <si>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</si>
  <si>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</si>
  <si>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</si>
  <si>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</si>
  <si>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</si>
  <si>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</si>
  <si>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</si>
  <si>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</si>
  <si>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</si>
  <si>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</si>
  <si>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</si>
  <si>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</si>
  <si>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</si>
  <si>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</si>
  <si>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</si>
  <si>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</si>
  <si>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</si>
  <si>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</si>
  <si>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</si>
  <si>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</si>
  <si>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</si>
  <si>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</si>
  <si>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</si>
  <si>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</si>
  <si>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</si>
  <si>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</si>
  <si>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</si>
  <si>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</si>
  <si>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</si>
  <si>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</si>
  <si>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</si>
  <si>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</si>
  <si>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</si>
  <si>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</si>
  <si>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</si>
  <si>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</si>
  <si>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</si>
  <si>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</si>
  <si>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</si>
  <si>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</si>
  <si>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</si>
  <si>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</si>
  <si>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</si>
  <si>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</si>
  <si>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</si>
  <si>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</si>
  <si>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</si>
  <si>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</si>
  <si>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</si>
  <si>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</si>
  <si>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</si>
  <si>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</si>
  <si>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</si>
  <si>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</si>
  <si>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</si>
  <si>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</si>
  <si>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</si>
  <si>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</si>
  <si>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</si>
  <si>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</si>
  <si>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</si>
  <si>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</si>
  <si>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</si>
  <si>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</si>
  <si>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</si>
  <si>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</si>
  <si>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</si>
  <si>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</si>
  <si>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</si>
  <si>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</si>
  <si>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</si>
  <si>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</si>
  <si>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</si>
  <si>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</si>
  <si>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</si>
  <si>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</si>
  <si>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</si>
  <si>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</si>
  <si>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</si>
  <si>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</si>
  <si>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</si>
  <si>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</si>
  <si>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</si>
  <si>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</si>
  <si>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</si>
  <si>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</si>
  <si>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</si>
  <si>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</si>
  <si>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</si>
  <si>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</si>
  <si>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</si>
  <si>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</si>
  <si>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</si>
  <si>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</si>
  <si>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</si>
  <si>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</si>
  <si>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</si>
  <si>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</si>
  <si>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</si>
  <si>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</si>
  <si>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</si>
  <si>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</si>
  <si>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</si>
  <si>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</si>
  <si>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</si>
  <si>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</si>
  <si>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</si>
  <si>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</si>
  <si>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</si>
  <si>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</si>
  <si>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</si>
  <si>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</si>
  <si>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</si>
  <si>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</si>
  <si>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</si>
  <si>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</si>
  <si>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</si>
  <si>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</si>
  <si>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</si>
  <si>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</si>
  <si>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</si>
  <si>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</si>
  <si>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</si>
  <si>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</si>
  <si>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</si>
  <si>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</si>
  <si>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</si>
  <si>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</si>
  <si>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</si>
  <si>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</si>
  <si>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</si>
  <si>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</si>
  <si>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</si>
  <si>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</si>
  <si>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</si>
  <si>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</si>
  <si>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</si>
  <si>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</si>
  <si>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</si>
  <si>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</si>
  <si>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</si>
  <si>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</si>
  <si>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</si>
  <si>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</si>
  <si>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</si>
  <si>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</si>
  <si>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</si>
  <si>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</si>
  <si>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</si>
  <si>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</si>
  <si>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</si>
  <si>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</si>
  <si>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</si>
  <si>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</si>
  <si>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</si>
  <si>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</si>
  <si>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</si>
  <si>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</si>
  <si>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</si>
  <si>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</si>
  <si>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</si>
  <si>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</si>
  <si>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</si>
  <si>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</si>
  <si>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</si>
  <si>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</si>
  <si>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</si>
  <si>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</si>
  <si>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</si>
  <si>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</si>
  <si>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</si>
  <si>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</si>
  <si>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</si>
  <si>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</si>
  <si>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</si>
  <si>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</si>
  <si>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</si>
  <si>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</si>
  <si>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</si>
  <si>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</si>
  <si>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</si>
  <si>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</si>
  <si>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</si>
  <si>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</si>
  <si>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</si>
  <si>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</si>
  <si>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</si>
  <si>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</si>
  <si>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</si>
  <si>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</si>
  <si>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</si>
  <si>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</si>
  <si>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</si>
  <si>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</si>
  <si>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</si>
  <si>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</si>
  <si>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</si>
  <si>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</si>
  <si>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</si>
  <si>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</si>
  <si>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</si>
  <si>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</si>
  <si>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</si>
  <si>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</si>
  <si>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</si>
  <si>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</si>
  <si>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</si>
  <si>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</si>
  <si>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</si>
  <si>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</si>
  <si>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</si>
  <si>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</si>
  <si>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</si>
  <si>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</si>
  <si>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</si>
  <si>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</si>
  <si>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</si>
  <si>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</si>
  <si>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</si>
  <si>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</si>
  <si>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</si>
  <si>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</si>
  <si>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</si>
  <si>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</si>
  <si>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</si>
  <si>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</si>
  <si>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</si>
  <si>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</si>
  <si>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</si>
  <si>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</si>
  <si>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</si>
  <si>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</si>
  <si>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</si>
  <si>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</si>
  <si>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</si>
  <si>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</si>
  <si>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</si>
  <si>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</si>
  <si>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</si>
  <si>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</si>
  <si>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</si>
  <si>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</si>
  <si>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</si>
  <si>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</si>
  <si>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</si>
  <si>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</si>
  <si>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</si>
  <si>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</si>
  <si>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</si>
  <si>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</si>
  <si>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</si>
  <si>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</si>
  <si>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</si>
  <si>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</si>
  <si>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</si>
  <si>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</si>
  <si>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</si>
  <si>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</si>
  <si>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</si>
  <si>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</si>
  <si>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</si>
  <si>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</si>
  <si>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</si>
  <si>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</si>
  <si>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</si>
  <si>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</si>
  <si>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</si>
  <si>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</si>
  <si>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</si>
  <si>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</si>
  <si>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</si>
  <si>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</si>
  <si>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</si>
  <si>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</si>
  <si>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</si>
  <si>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</si>
  <si>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</si>
  <si>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</si>
  <si>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</si>
  <si>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</si>
  <si>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</si>
  <si>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</si>
  <si>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</si>
  <si>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</si>
  <si>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</si>
  <si>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</si>
  <si>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</si>
  <si>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</si>
  <si>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</si>
  <si>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</si>
  <si>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</si>
  <si>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</si>
  <si>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</si>
  <si>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</si>
  <si>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</si>
  <si>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</si>
  <si>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</si>
  <si>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</si>
  <si>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</si>
  <si>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</si>
  <si>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</si>
  <si>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</si>
  <si>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</si>
  <si>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</si>
  <si>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</si>
  <si>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</si>
  <si>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</si>
  <si>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</si>
  <si>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</si>
  <si>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</si>
  <si>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</si>
  <si>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</si>
  <si>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</si>
  <si>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</si>
  <si>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</si>
  <si>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</si>
  <si>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</si>
  <si>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</si>
  <si>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</si>
  <si>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</si>
  <si>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</si>
  <si>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</si>
  <si>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</si>
  <si>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</si>
  <si>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</si>
  <si>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</si>
  <si>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</si>
  <si>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</si>
  <si>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</si>
  <si>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</si>
  <si>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</si>
  <si>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</si>
  <si>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</si>
  <si>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</si>
  <si>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</si>
  <si>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</si>
  <si>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</si>
  <si>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</si>
  <si>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</si>
  <si>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</si>
  <si>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</si>
  <si>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</si>
  <si>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</si>
  <si>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</si>
  <si>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</si>
  <si>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</si>
  <si>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</si>
  <si>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</si>
  <si>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</si>
  <si>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</si>
  <si>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</si>
  <si>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</si>
  <si>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</si>
  <si>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</si>
  <si>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</si>
  <si>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</si>
  <si>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</si>
  <si>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</si>
  <si>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</si>
  <si>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</si>
  <si>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</si>
  <si>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</si>
  <si>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</si>
  <si>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</si>
  <si>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</si>
  <si>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</si>
  <si>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</si>
  <si>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</si>
  <si>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</si>
  <si>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</si>
  <si>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</si>
  <si>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</si>
  <si>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</si>
  <si>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</si>
  <si>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</si>
  <si>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</si>
  <si>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</si>
  <si>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</si>
  <si>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</si>
  <si>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</si>
  <si>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</si>
  <si>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</si>
  <si>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</si>
  <si>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</si>
  <si>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</si>
  <si>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</si>
  <si>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</si>
  <si>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</si>
  <si>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</si>
  <si>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</si>
  <si>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</si>
  <si>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</si>
  <si>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</si>
  <si>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</si>
  <si>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</si>
  <si>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</si>
  <si>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</si>
  <si>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</si>
  <si>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</si>
  <si>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</si>
  <si>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</si>
  <si>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</si>
  <si>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</si>
  <si>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</si>
  <si>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</si>
  <si>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</si>
  <si>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</si>
  <si>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</si>
  <si>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</si>
  <si>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</si>
  <si>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</si>
  <si>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</si>
  <si>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</si>
  <si>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</si>
  <si>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</si>
  <si>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</si>
  <si>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</si>
  <si>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</si>
  <si>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</si>
  <si>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</si>
  <si>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</si>
  <si>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</si>
  <si>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</si>
  <si>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</si>
  <si>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</si>
  <si>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</si>
  <si>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</si>
  <si>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</si>
  <si>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</si>
  <si>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</si>
  <si>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</si>
  <si>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</si>
  <si>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</si>
  <si>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</si>
  <si>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</si>
  <si>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</si>
  <si>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</si>
  <si>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</si>
  <si>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</si>
  <si>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</si>
  <si>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</si>
  <si>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</si>
  <si>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</si>
  <si>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</si>
  <si>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</si>
  <si>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</si>
  <si>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</si>
  <si>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</si>
  <si>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</si>
  <si>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</si>
  <si>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</si>
  <si>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</si>
  <si>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</si>
  <si>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</si>
  <si>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</si>
  <si>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</si>
  <si>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</si>
  <si>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</si>
  <si>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</si>
  <si>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</si>
  <si>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</si>
  <si>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</si>
  <si>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</si>
  <si>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</si>
  <si>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</si>
  <si>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</si>
  <si>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</si>
  <si>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</si>
  <si>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</si>
  <si>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</si>
  <si>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</si>
  <si>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</si>
  <si>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</si>
  <si>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</si>
  <si>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</si>
  <si>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</si>
  <si>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</si>
  <si>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</si>
  <si>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</si>
  <si>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</si>
  <si>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</si>
  <si>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</si>
  <si>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</si>
  <si>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</si>
  <si>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</si>
  <si>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</si>
  <si>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</si>
  <si>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</si>
  <si>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</si>
  <si>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</si>
  <si>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</si>
  <si>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</si>
  <si>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</si>
  <si>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</si>
  <si>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</si>
  <si>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</si>
  <si>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</si>
  <si>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</si>
  <si>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</si>
  <si>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</si>
  <si>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</si>
  <si>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</si>
  <si>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</si>
  <si>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</si>
  <si>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</si>
  <si>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</si>
  <si>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</si>
  <si>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</si>
  <si>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</si>
  <si>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</si>
  <si>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</si>
  <si>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</si>
  <si>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</si>
  <si>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</si>
  <si>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</si>
  <si>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</si>
  <si>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</si>
  <si>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</si>
  <si>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</si>
  <si>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</si>
  <si>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</si>
  <si>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</si>
  <si>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</si>
  <si>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</si>
  <si>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</si>
  <si>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</si>
  <si>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</si>
  <si>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</si>
  <si>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</si>
  <si>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</si>
  <si>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</si>
  <si>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</si>
  <si>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</si>
  <si>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</si>
  <si>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</si>
  <si>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</si>
  <si>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</si>
  <si>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</si>
  <si>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</si>
  <si>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</si>
  <si>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</si>
  <si>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</si>
  <si>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</si>
  <si>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</si>
  <si>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</si>
  <si>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</si>
  <si>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</si>
  <si>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</si>
  <si>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</si>
  <si>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</si>
  <si>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</si>
  <si>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</si>
  <si>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</si>
  <si>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</si>
  <si>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</si>
  <si>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</si>
  <si>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</si>
  <si>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</si>
  <si>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</si>
  <si>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</si>
  <si>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</si>
  <si>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</si>
  <si>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</si>
  <si>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</si>
  <si>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</si>
  <si>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</si>
  <si>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</si>
  <si>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</si>
  <si>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</si>
  <si>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</si>
  <si>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</si>
  <si>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</si>
  <si>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</si>
  <si>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</si>
  <si>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</si>
  <si>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</si>
  <si>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</si>
  <si>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</si>
  <si>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</si>
  <si>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</si>
  <si>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</si>
  <si>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</si>
  <si>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</si>
  <si>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</si>
  <si>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</si>
  <si>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</si>
  <si>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</si>
  <si>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</si>
  <si>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</si>
  <si>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</si>
  <si>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</si>
  <si>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</si>
  <si>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</si>
  <si>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</si>
  <si>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</si>
  <si>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</si>
  <si>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</si>
  <si>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</si>
  <si>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</si>
  <si>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</si>
  <si>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</si>
  <si>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</si>
  <si>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</si>
  <si>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</si>
  <si>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</si>
  <si>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</si>
  <si>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</si>
  <si>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</si>
  <si>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</si>
  <si>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</si>
  <si>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</si>
  <si>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</si>
  <si>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</si>
  <si>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</si>
  <si>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</si>
  <si>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</si>
  <si>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</si>
  <si>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</si>
  <si>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</si>
  <si>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</si>
  <si>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</si>
  <si>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</si>
  <si>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</si>
  <si>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</si>
  <si>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</si>
  <si>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</si>
  <si>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</si>
  <si>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</si>
  <si>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</si>
  <si>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</si>
  <si>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</si>
  <si>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</si>
  <si>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</si>
  <si>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</si>
  <si>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</si>
  <si>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</si>
  <si>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</si>
  <si>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</si>
  <si>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</si>
  <si>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</si>
  <si>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</si>
  <si>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</si>
  <si>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</si>
  <si>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</si>
  <si>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</si>
  <si>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</si>
  <si>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</si>
  <si>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</si>
  <si>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</si>
  <si>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</si>
  <si>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</si>
  <si>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</si>
  <si>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</si>
  <si>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</si>
  <si>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</si>
  <si>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</si>
  <si>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</si>
  <si>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</si>
  <si>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</si>
  <si>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</si>
  <si>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</si>
  <si>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</si>
  <si>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</si>
  <si>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</si>
  <si>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</si>
  <si>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</si>
  <si>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</si>
  <si>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</si>
  <si>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</si>
  <si>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</si>
  <si>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</si>
  <si>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</si>
  <si>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</si>
  <si>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</si>
  <si>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</si>
  <si>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</si>
  <si>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</si>
  <si>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</si>
  <si>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</si>
  <si>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</si>
  <si>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</si>
  <si>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</si>
  <si>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</si>
  <si>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</si>
  <si>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</si>
  <si>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</si>
  <si>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</si>
  <si>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</si>
  <si>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</si>
  <si>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</si>
  <si>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</si>
  <si>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</si>
  <si>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</si>
  <si>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</si>
  <si>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</si>
  <si>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</si>
  <si>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</si>
  <si>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</si>
  <si>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</si>
  <si>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</si>
  <si>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</si>
  <si>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</si>
  <si>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</si>
  <si>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</si>
  <si>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</si>
  <si>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</si>
  <si>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</si>
  <si>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</si>
  <si>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</si>
  <si>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</si>
  <si>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</si>
  <si>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</si>
  <si>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</si>
  <si>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</si>
  <si>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</si>
  <si>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</si>
  <si>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</si>
  <si>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</si>
  <si>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</si>
  <si>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</si>
  <si>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</si>
  <si>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</si>
  <si>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</si>
  <si>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</si>
  <si>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</si>
  <si>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</si>
  <si>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</si>
  <si>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</si>
  <si>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</si>
  <si>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</si>
  <si>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</si>
  <si>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</si>
  <si>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</si>
  <si>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</si>
  <si>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</si>
  <si>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</si>
  <si>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</si>
  <si>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</si>
  <si>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</si>
  <si>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</si>
  <si>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</si>
  <si>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</si>
  <si>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</si>
  <si>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</si>
  <si>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</si>
  <si>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</si>
  <si>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</si>
  <si>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</si>
  <si>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</si>
  <si>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</si>
  <si>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</si>
  <si>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</si>
  <si>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</si>
  <si>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</si>
  <si>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</si>
  <si>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</si>
  <si>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</si>
  <si>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</si>
  <si>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</si>
  <si>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</si>
  <si>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</si>
  <si>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</si>
  <si>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</si>
  <si>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</si>
  <si>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</si>
  <si>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</si>
  <si>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</si>
  <si>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</si>
  <si>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</si>
  <si>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</si>
  <si>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</si>
  <si>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</si>
  <si>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</si>
  <si>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</si>
  <si>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</si>
  <si>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</si>
  <si>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</si>
  <si>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</si>
  <si>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</si>
  <si>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</si>
  <si>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</si>
  <si>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</si>
  <si>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</si>
  <si>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</si>
  <si>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</si>
  <si>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</si>
  <si>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</si>
  <si>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</si>
  <si>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</si>
  <si>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</si>
  <si>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</si>
  <si>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</si>
  <si>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</si>
  <si>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</si>
  <si>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</si>
  <si>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</si>
  <si>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</si>
  <si>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</si>
  <si>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</si>
  <si>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</si>
  <si>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</si>
  <si>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</si>
  <si>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</si>
  <si>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</si>
  <si>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</si>
  <si>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</si>
  <si>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</si>
  <si>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</si>
  <si>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</si>
  <si>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</si>
  <si>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</si>
  <si>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</si>
  <si>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</si>
  <si>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</si>
  <si>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</si>
  <si>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</si>
  <si>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</si>
  <si>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</si>
  <si>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</si>
  <si>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</si>
  <si>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</si>
  <si>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</si>
  <si>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</si>
  <si>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</si>
  <si>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</si>
  <si>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</si>
  <si>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</si>
  <si>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</si>
  <si>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</si>
  <si>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</si>
  <si>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</si>
  <si>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</si>
  <si>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</si>
  <si>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</si>
  <si>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</si>
  <si>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</si>
  <si>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</si>
  <si>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</si>
  <si>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</si>
  <si>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</si>
  <si>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</si>
  <si>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</si>
  <si>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</si>
  <si>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</si>
  <si>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</si>
  <si>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</si>
  <si>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</si>
  <si>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</si>
  <si>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</si>
  <si>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</si>
  <si>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</si>
  <si>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</si>
  <si>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</si>
  <si>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</si>
  <si>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</si>
  <si>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</si>
  <si>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</si>
  <si>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</si>
  <si>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</si>
  <si>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</si>
  <si>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</si>
  <si>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</si>
  <si>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</si>
  <si>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</si>
  <si>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</si>
  <si>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</si>
  <si>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</si>
  <si>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</si>
  <si>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</si>
  <si>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</si>
  <si>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</si>
  <si>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</si>
  <si>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</si>
  <si>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</si>
  <si>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</si>
  <si>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</si>
  <si>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</si>
  <si>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</si>
  <si>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</si>
  <si>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</si>
  <si>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</si>
  <si>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</si>
  <si>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</si>
  <si>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</si>
  <si>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</si>
  <si>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</si>
  <si>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</si>
  <si>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</si>
  <si>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</si>
  <si>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</si>
  <si>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</si>
  <si>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</si>
  <si>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</si>
  <si>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</si>
  <si>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</si>
  <si>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</si>
  <si>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</si>
  <si>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</si>
  <si>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</si>
  <si>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</si>
  <si>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</si>
  <si>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</si>
  <si>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</si>
  <si>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</si>
  <si>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</si>
  <si>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</si>
  <si>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</si>
  <si>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</si>
  <si>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</si>
  <si>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</si>
  <si>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</si>
  <si>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</si>
  <si>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</si>
  <si>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</si>
  <si>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</si>
  <si>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</si>
  <si>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</si>
  <si>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</si>
  <si>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</si>
  <si>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</si>
  <si>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</si>
  <si>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</si>
  <si>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</si>
  <si>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</si>
  <si>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</si>
  <si>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</si>
  <si>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</si>
  <si>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</si>
  <si>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</si>
  <si>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</si>
  <si>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</si>
  <si>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</si>
  <si>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</si>
  <si>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</si>
  <si>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</si>
  <si>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</si>
  <si>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</si>
  <si>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</si>
  <si>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</si>
  <si>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</si>
  <si>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</si>
  <si>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</si>
  <si>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</si>
  <si>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</si>
  <si>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</si>
  <si>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</si>
  <si>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</si>
  <si>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</si>
  <si>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</si>
  <si>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</si>
  <si>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</si>
  <si>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</si>
  <si>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</si>
  <si>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</si>
  <si>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</si>
  <si>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</si>
  <si>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</si>
  <si>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</si>
  <si>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</si>
  <si>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</si>
  <si>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</si>
  <si>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</si>
  <si>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</si>
  <si>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</si>
  <si>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</si>
  <si>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</si>
  <si>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</si>
  <si>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</si>
  <si>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</si>
  <si>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</si>
  <si>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</si>
  <si>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</si>
  <si>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</si>
  <si>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</si>
  <si>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</si>
  <si>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</si>
  <si>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</si>
  <si>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</si>
  <si>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</si>
  <si>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</si>
  <si>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</si>
  <si>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</si>
  <si>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</si>
  <si>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</si>
  <si>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</si>
  <si>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</si>
  <si>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</si>
  <si>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</si>
  <si>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</si>
  <si>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</si>
  <si>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</si>
  <si>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</si>
  <si>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</si>
  <si>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</si>
  <si>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</si>
  <si>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</si>
  <si>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</si>
  <si>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</si>
  <si>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</si>
  <si>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</si>
  <si>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</si>
  <si>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</si>
  <si>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</si>
  <si>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</si>
  <si>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</si>
  <si>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</si>
  <si>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</si>
  <si>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</si>
  <si>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</si>
  <si>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</si>
  <si>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</si>
  <si>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</si>
  <si>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</si>
  <si>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</si>
  <si>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</si>
  <si>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</si>
  <si>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</si>
  <si>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</si>
  <si>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</si>
  <si>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</si>
  <si>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</si>
  <si>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</si>
  <si>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</si>
  <si>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</si>
  <si>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</si>
  <si>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</si>
  <si>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</si>
  <si>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</si>
  <si>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</si>
  <si>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</si>
  <si>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</si>
  <si>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</si>
  <si>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</si>
  <si>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</si>
  <si>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</si>
  <si>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</si>
  <si>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</si>
  <si>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</si>
  <si>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</si>
  <si>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</si>
  <si>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</si>
  <si>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</si>
  <si>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</si>
  <si>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</si>
  <si>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</si>
  <si>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</si>
  <si>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</si>
  <si>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</si>
  <si>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</si>
  <si>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</si>
  <si>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</si>
  <si>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</si>
  <si>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</si>
  <si>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</si>
  <si>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</si>
  <si>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</si>
  <si>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</si>
  <si>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</si>
  <si>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</si>
  <si>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</si>
  <si>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</si>
  <si>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</si>
  <si>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</si>
  <si>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</si>
  <si>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</si>
  <si>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</si>
  <si>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</si>
  <si>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</si>
  <si>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</si>
  <si>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</si>
  <si>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</si>
  <si>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</si>
  <si>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</si>
  <si>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</si>
  <si>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</si>
  <si>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</si>
  <si>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</si>
  <si>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</si>
  <si>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</si>
  <si>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</si>
  <si>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</si>
  <si>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</si>
  <si>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</si>
  <si>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</si>
  <si>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</si>
  <si>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</si>
  <si>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</si>
  <si>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</si>
  <si>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</si>
  <si>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</si>
  <si>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</si>
  <si>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</si>
  <si>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</si>
  <si>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</si>
  <si>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</si>
  <si>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</si>
  <si>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</si>
  <si>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</si>
  <si>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</si>
  <si>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</si>
  <si>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</si>
  <si>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</si>
  <si>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</si>
  <si>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</si>
  <si>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</si>
  <si>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</si>
  <si>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</si>
  <si>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</si>
  <si>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</si>
  <si>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</si>
  <si>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</si>
  <si>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</si>
  <si>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</si>
  <si>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</si>
  <si>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</si>
  <si>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</si>
  <si>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</si>
  <si>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</si>
  <si>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</si>
  <si>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</si>
  <si>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</si>
  <si>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</si>
  <si>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</si>
  <si>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</si>
  <si>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</si>
  <si>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</si>
  <si>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</si>
  <si>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</si>
  <si>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</si>
  <si>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</si>
  <si>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</si>
  <si>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</si>
  <si>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</si>
  <si>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</si>
  <si>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</si>
  <si>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</si>
  <si>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</si>
  <si>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</si>
  <si>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</si>
  <si>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</si>
  <si>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</si>
  <si>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</si>
  <si>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</si>
  <si>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</si>
  <si>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</si>
  <si>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</si>
  <si>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</si>
  <si>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</si>
  <si>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</si>
  <si>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</si>
  <si>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</si>
  <si>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</si>
  <si>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</si>
  <si>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</si>
  <si>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</si>
  <si>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</si>
  <si>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</si>
  <si>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</si>
  <si>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</si>
  <si>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</si>
  <si>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</si>
  <si>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</si>
  <si>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</si>
  <si>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</si>
  <si>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</si>
  <si>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</si>
  <si>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</si>
  <si>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</si>
  <si>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</si>
  <si>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</si>
  <si>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</si>
  <si>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</si>
  <si>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</si>
  <si>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</si>
  <si>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</si>
  <si>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</si>
  <si>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</si>
  <si>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</si>
  <si>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</si>
  <si>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</si>
  <si>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</si>
  <si>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</si>
  <si>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</si>
  <si>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</si>
  <si>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</si>
  <si>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</si>
  <si>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</si>
  <si>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</si>
  <si>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</si>
  <si>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</si>
  <si>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</si>
  <si>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</si>
  <si>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</si>
  <si>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</si>
  <si>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</si>
  <si>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</si>
  <si>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</si>
  <si>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</si>
  <si>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</si>
  <si>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</si>
  <si>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</si>
  <si>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</si>
  <si>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</si>
  <si>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</si>
  <si>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</si>
  <si>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</si>
  <si>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</si>
  <si>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</si>
  <si>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</si>
  <si>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</si>
  <si>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</si>
  <si>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</si>
  <si>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</si>
  <si>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</si>
  <si>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</si>
  <si>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</si>
  <si>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</si>
  <si>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</si>
  <si>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</si>
  <si>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</si>
  <si>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</si>
  <si>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</si>
  <si>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</si>
  <si>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</si>
  <si>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</si>
  <si>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</si>
  <si>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</si>
  <si>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</si>
  <si>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</si>
  <si>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</si>
  <si>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</si>
  <si>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</si>
  <si>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</si>
  <si>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</si>
  <si>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</si>
  <si>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</si>
  <si>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</si>
  <si>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</si>
  <si>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</si>
  <si>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</si>
  <si>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</si>
  <si>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</si>
  <si>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</si>
  <si>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</si>
  <si>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</si>
  <si>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</si>
  <si>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</si>
  <si>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</si>
  <si>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</si>
  <si>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</si>
  <si>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</si>
  <si>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</si>
  <si>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</si>
  <si>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</si>
  <si>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</si>
  <si>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</si>
  <si>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</si>
  <si>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</si>
  <si>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</si>
  <si>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</si>
  <si>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</si>
  <si>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</si>
  <si>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</si>
  <si>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</si>
  <si>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</si>
  <si>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</si>
  <si>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</si>
  <si>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</si>
  <si>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</si>
  <si>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</si>
  <si>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</si>
  <si>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</si>
  <si>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</si>
  <si>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</si>
  <si>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</si>
  <si>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</si>
  <si>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</si>
  <si>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</si>
  <si>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</si>
  <si>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</si>
  <si>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</si>
  <si>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</si>
  <si>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</si>
  <si>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</si>
  <si>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</si>
  <si>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</si>
  <si>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</si>
  <si>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</si>
  <si>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</si>
  <si>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</si>
  <si>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</si>
  <si>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</si>
  <si>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</si>
  <si>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</si>
  <si>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</si>
  <si>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</si>
  <si>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</si>
  <si>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</si>
  <si>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</si>
  <si>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</si>
  <si>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</si>
  <si>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</si>
  <si>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</si>
  <si>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</si>
  <si>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</si>
  <si>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</si>
  <si>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</si>
  <si>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</si>
  <si>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</si>
  <si>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</si>
  <si>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</si>
  <si>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</si>
  <si>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</si>
  <si>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</si>
  <si>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</si>
  <si>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</si>
  <si>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</si>
  <si>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</si>
  <si>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</si>
  <si>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</si>
  <si>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</si>
  <si>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</si>
  <si>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</si>
  <si>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</si>
  <si>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</si>
  <si>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</si>
  <si>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</si>
  <si>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</si>
  <si>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</si>
  <si>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</si>
  <si>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</si>
  <si>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</si>
  <si>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</si>
  <si>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</si>
  <si>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</si>
  <si>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</si>
  <si>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</si>
  <si>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</si>
  <si>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</si>
  <si>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</si>
  <si>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</si>
  <si>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</si>
  <si>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</si>
  <si>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</si>
  <si>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</si>
  <si>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</si>
  <si>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</si>
  <si>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</si>
  <si>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</si>
  <si>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</si>
  <si>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</si>
  <si>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</si>
  <si>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</si>
  <si>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</si>
  <si>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</si>
  <si>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</si>
  <si>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</si>
  <si>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</si>
  <si>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</si>
  <si>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</si>
  <si>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</si>
  <si>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</si>
  <si>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</si>
  <si>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</si>
  <si>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</si>
  <si>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</si>
  <si>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</si>
  <si>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</si>
  <si>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</si>
  <si>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</si>
  <si>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</si>
  <si>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</si>
  <si>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</si>
  <si>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</si>
  <si>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</si>
  <si>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</si>
  <si>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</si>
  <si>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</si>
  <si>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</si>
  <si>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</si>
  <si>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</si>
  <si>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</si>
  <si>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</si>
  <si>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</si>
  <si>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</si>
  <si>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</si>
  <si>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</si>
  <si>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</si>
  <si>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</si>
  <si>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</si>
  <si>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</si>
  <si>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</si>
  <si>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</si>
  <si>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</si>
  <si>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</si>
  <si>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</si>
  <si>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</si>
  <si>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</si>
  <si>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</si>
  <si>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</si>
  <si>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</si>
  <si>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</si>
  <si>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</si>
  <si>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</si>
  <si>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</si>
  <si>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</si>
  <si>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</si>
  <si>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</si>
  <si>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</si>
  <si>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</si>
  <si>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</si>
  <si>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</si>
  <si>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</si>
  <si>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</si>
  <si>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</si>
  <si>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</si>
  <si>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</si>
  <si>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</si>
  <si>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</si>
  <si>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</si>
  <si>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</si>
  <si>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</si>
  <si>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</si>
  <si>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</si>
  <si>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</si>
  <si>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</si>
  <si>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</si>
  <si>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</si>
  <si>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</si>
  <si>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</si>
  <si>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</si>
  <si>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</si>
  <si>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</si>
  <si>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</si>
  <si>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</si>
  <si>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</si>
  <si>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</si>
  <si>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</si>
  <si>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</si>
  <si>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</si>
  <si>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</si>
  <si>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</si>
  <si>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</si>
  <si>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</si>
  <si>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</si>
  <si>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</si>
  <si>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</si>
  <si>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</si>
  <si>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</si>
  <si>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</si>
  <si>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</si>
  <si>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</si>
  <si>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</si>
  <si>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</si>
  <si>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</si>
  <si>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</si>
  <si>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</si>
  <si>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</si>
  <si>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</si>
  <si>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</si>
  <si>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</si>
  <si>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</si>
  <si>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</si>
  <si>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</si>
  <si>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</si>
  <si>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</si>
  <si>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</si>
  <si>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</si>
  <si>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</si>
  <si>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</si>
  <si>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</si>
  <si>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</si>
  <si>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</si>
  <si>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</si>
  <si>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</si>
  <si>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</si>
  <si>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</si>
  <si>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</si>
  <si>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</si>
  <si>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</si>
  <si>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</si>
  <si>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</si>
  <si>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</si>
  <si>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</si>
  <si>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</si>
  <si>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</si>
  <si>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</si>
  <si>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</si>
  <si>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</si>
  <si>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</si>
  <si>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</si>
  <si>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</si>
  <si>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</si>
  <si>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</si>
  <si>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</si>
  <si>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</si>
  <si>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</si>
  <si>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</si>
  <si>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</si>
  <si>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</si>
  <si>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</si>
  <si>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</si>
  <si>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</si>
  <si>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</si>
  <si>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</si>
  <si>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</si>
  <si>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</si>
  <si>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</si>
  <si>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</si>
  <si>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</si>
  <si>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</si>
  <si>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</si>
  <si>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</si>
  <si>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</si>
  <si>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</si>
  <si>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</si>
  <si>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</si>
  <si>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</si>
  <si>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</si>
  <si>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</si>
  <si>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</si>
  <si>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</si>
  <si>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</si>
  <si>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</si>
  <si>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</si>
  <si>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</si>
  <si>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</si>
  <si>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</si>
  <si>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</si>
  <si>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</si>
  <si>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</si>
  <si>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</si>
  <si>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</si>
  <si>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</si>
  <si>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</si>
  <si>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</si>
  <si>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</si>
  <si>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</si>
  <si>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</si>
  <si>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</si>
  <si>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</si>
  <si>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</si>
  <si>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</si>
  <si>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</si>
  <si>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</si>
  <si>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</si>
  <si>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</si>
  <si>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</si>
  <si>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</si>
  <si>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</si>
  <si>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</si>
  <si>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</si>
  <si>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</si>
  <si>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</si>
  <si>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</si>
  <si>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</si>
  <si>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</si>
  <si>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</si>
  <si>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</si>
  <si>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</si>
  <si>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</si>
  <si>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</si>
  <si>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</si>
  <si>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</si>
  <si>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</si>
  <si>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</si>
  <si>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</si>
  <si>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</si>
  <si>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</si>
  <si>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</si>
  <si>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</si>
  <si>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</si>
  <si>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</si>
  <si>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</si>
  <si>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</si>
  <si>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</si>
  <si>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</si>
  <si>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</si>
  <si>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</si>
  <si>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</si>
  <si>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</si>
  <si>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</si>
  <si>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</si>
  <si>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</si>
  <si>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</si>
  <si>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</si>
  <si>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</si>
  <si>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</si>
  <si>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</si>
  <si>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</si>
  <si>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</si>
  <si>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</si>
  <si>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</si>
  <si>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</si>
  <si>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</si>
  <si>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</si>
  <si>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</si>
  <si>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</si>
  <si>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</si>
  <si>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</si>
  <si>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</si>
  <si>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</si>
  <si>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</si>
  <si>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</si>
  <si>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</si>
  <si>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</si>
  <si>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</si>
  <si>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</si>
  <si>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</si>
  <si>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</si>
  <si>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</si>
  <si>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</si>
  <si>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</si>
  <si>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</si>
  <si>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</si>
  <si>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</si>
  <si>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</si>
  <si>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</si>
  <si>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</si>
  <si>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</si>
  <si>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</si>
  <si>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</si>
  <si>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</si>
  <si>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</si>
  <si>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</si>
  <si>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</si>
  <si>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</si>
  <si>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</si>
  <si>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</si>
  <si>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</si>
  <si>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</si>
  <si>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</si>
  <si>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</si>
  <si>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</si>
  <si>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</si>
  <si>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</si>
  <si>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</si>
  <si>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</si>
  <si>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</si>
  <si>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</si>
  <si>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</si>
  <si>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</si>
  <si>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</si>
  <si>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</si>
  <si>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</si>
  <si>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</si>
  <si>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</si>
  <si>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</si>
  <si>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</si>
  <si>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</si>
  <si>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</si>
  <si>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</si>
  <si>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</si>
  <si>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</si>
  <si>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</si>
  <si>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</si>
  <si>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</si>
  <si>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</si>
  <si>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</si>
  <si>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</si>
  <si>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</si>
  <si>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</si>
  <si>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</si>
  <si>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</si>
  <si>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</si>
  <si>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</si>
  <si>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</si>
  <si>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</si>
  <si>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</si>
  <si>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</si>
  <si>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</si>
  <si>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</si>
  <si>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</si>
  <si>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</si>
  <si>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</si>
  <si>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</si>
  <si>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</si>
  <si>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</si>
  <si>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</si>
  <si>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</si>
  <si>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</si>
  <si>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</si>
  <si>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</si>
  <si>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</si>
  <si>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</si>
  <si>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</si>
  <si>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</si>
  <si>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</si>
  <si>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</si>
  <si>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</si>
  <si>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</si>
  <si>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</si>
  <si>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</si>
  <si>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</si>
  <si>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</si>
  <si>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</si>
  <si>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</si>
  <si>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</si>
  <si>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</si>
  <si>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</si>
  <si>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</si>
  <si>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</si>
  <si>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</si>
  <si>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</si>
  <si>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</si>
  <si>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</si>
  <si>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</si>
  <si>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</si>
  <si>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</si>
  <si>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</si>
  <si>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</si>
  <si>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</si>
  <si>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</si>
  <si>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</si>
  <si>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</si>
  <si>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</si>
  <si>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</si>
  <si>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</si>
  <si>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</si>
  <si>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</si>
  <si>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</si>
  <si>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</si>
  <si>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</si>
  <si>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</si>
  <si>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</si>
  <si>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</si>
  <si>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</si>
  <si>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</si>
  <si>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</si>
  <si>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</si>
  <si>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</si>
  <si>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</si>
  <si>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</si>
  <si>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</si>
  <si>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</si>
  <si>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</si>
  <si>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</si>
  <si>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</si>
  <si>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</si>
  <si>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</si>
  <si>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</si>
  <si>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</si>
  <si>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</si>
  <si>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</si>
  <si>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</si>
  <si>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</si>
  <si>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</si>
  <si>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</si>
  <si>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</si>
  <si>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</si>
  <si>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</si>
  <si>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</si>
  <si>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</si>
  <si>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</si>
  <si>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</si>
  <si>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</si>
  <si>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</si>
  <si>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</si>
  <si>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</si>
  <si>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</si>
  <si>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</si>
  <si>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</si>
  <si>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</si>
  <si>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</si>
  <si>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</si>
  <si>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</si>
  <si>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</si>
  <si>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</si>
  <si>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</si>
  <si>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</si>
  <si>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</si>
  <si>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</si>
  <si>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</si>
  <si>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</si>
  <si>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</si>
  <si>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</si>
  <si>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</si>
  <si>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</si>
  <si>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</si>
  <si>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</si>
  <si>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</si>
  <si>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</si>
  <si>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</si>
  <si>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</si>
  <si>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</si>
  <si>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</si>
  <si>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</si>
  <si>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</si>
  <si>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</si>
  <si>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</si>
  <si>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</si>
  <si>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</si>
  <si>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</si>
  <si>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</si>
  <si>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</si>
  <si>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</si>
  <si>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</si>
  <si>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</si>
  <si>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</si>
  <si>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</si>
  <si>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</si>
  <si>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</si>
  <si>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</si>
  <si>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</si>
  <si>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</si>
  <si>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</si>
  <si>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</si>
  <si>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</si>
  <si>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</si>
  <si>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</si>
  <si>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</si>
  <si>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</si>
  <si>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</si>
  <si>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</si>
  <si>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</si>
  <si>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</si>
  <si>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</si>
  <si>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</si>
  <si>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</si>
  <si>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</si>
  <si>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</si>
  <si>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</si>
  <si>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</si>
  <si>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</si>
  <si>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</si>
  <si>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</si>
  <si>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</si>
  <si>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</si>
  <si>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</si>
  <si>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</si>
  <si>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</si>
  <si>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</si>
  <si>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</si>
  <si>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</si>
  <si>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</si>
  <si>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</si>
  <si>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</si>
  <si>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</si>
  <si>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</si>
  <si>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</si>
  <si>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</si>
  <si>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</si>
  <si>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</si>
  <si>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</si>
  <si>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</si>
  <si>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</si>
  <si>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</si>
  <si>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</si>
  <si>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</si>
  <si>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</si>
  <si>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</si>
  <si>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</si>
  <si>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</si>
  <si>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</si>
  <si>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</si>
  <si>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</si>
  <si>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</si>
  <si>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</si>
  <si>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</si>
  <si>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</si>
  <si>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</si>
  <si>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</si>
  <si>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</si>
  <si>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</si>
  <si>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</si>
  <si>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</si>
  <si>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</si>
  <si>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</si>
  <si>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</si>
  <si>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</si>
  <si>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</si>
  <si>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</si>
  <si>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</si>
  <si>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</si>
  <si>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</si>
  <si>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</si>
  <si>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</si>
  <si>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</si>
  <si>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</si>
  <si>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</si>
  <si>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</si>
  <si>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</si>
  <si>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</si>
  <si>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</si>
  <si>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</si>
  <si>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</si>
  <si>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</si>
  <si>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</si>
  <si>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</si>
  <si>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</si>
  <si>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</si>
  <si>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</si>
  <si>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</si>
  <si>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</si>
  <si>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</si>
  <si>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</si>
  <si>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</si>
  <si>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</si>
  <si>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</si>
  <si>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</si>
  <si>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</si>
  <si>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</si>
  <si>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</si>
  <si>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</si>
  <si>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</si>
  <si>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</si>
  <si>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</si>
  <si>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</si>
  <si>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</si>
  <si>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</si>
  <si>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</si>
  <si>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</si>
  <si>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</si>
  <si>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</si>
  <si>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</si>
  <si>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</si>
  <si>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</si>
  <si>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</si>
  <si>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</si>
  <si>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</si>
  <si>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</si>
  <si>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</si>
  <si>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</si>
  <si>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</si>
  <si>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</si>
  <si>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</si>
  <si>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</si>
  <si>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</si>
  <si>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</si>
  <si>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</si>
  <si>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</si>
  <si>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</si>
  <si>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</si>
  <si>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</si>
  <si>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</si>
  <si>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</si>
  <si>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</si>
  <si>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</si>
  <si>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</si>
  <si>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</si>
  <si>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</si>
  <si>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</si>
  <si>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</si>
  <si>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</si>
  <si>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</si>
  <si>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</si>
  <si>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</si>
  <si>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</si>
  <si>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</si>
  <si>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</si>
  <si>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</si>
  <si>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</si>
  <si>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</si>
  <si>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</si>
  <si>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</si>
  <si>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</si>
  <si>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</si>
  <si>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</si>
  <si>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</si>
  <si>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</si>
  <si>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</si>
  <si>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</si>
  <si>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</si>
  <si>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</si>
  <si>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</si>
  <si>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</si>
  <si>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</si>
  <si>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</si>
  <si>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</si>
  <si>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</si>
  <si>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</si>
  <si>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</si>
  <si>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</si>
  <si>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</si>
  <si>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</si>
  <si>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</si>
  <si>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</si>
  <si>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</si>
  <si>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</si>
  <si>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</si>
  <si>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</si>
  <si>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</si>
  <si>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</si>
  <si>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</si>
  <si>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</si>
  <si>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</si>
  <si>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</si>
  <si>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</si>
  <si>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</si>
  <si>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</si>
  <si>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</si>
  <si>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</si>
  <si>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</si>
  <si>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</si>
  <si>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</si>
  <si>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</si>
  <si>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</si>
  <si>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</si>
  <si>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</si>
  <si>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</si>
  <si>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</si>
  <si>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</si>
  <si>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</si>
  <si>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</si>
  <si>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</si>
  <si>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</si>
  <si>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</si>
  <si>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</si>
  <si>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</si>
  <si>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</si>
  <si>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</si>
  <si>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</si>
  <si>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</si>
  <si>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</si>
  <si>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</si>
  <si>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</si>
  <si>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</si>
  <si>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</si>
  <si>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</si>
  <si>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</si>
  <si>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</si>
  <si>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</si>
  <si>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</si>
  <si>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</si>
  <si>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</si>
  <si>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</si>
  <si>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</si>
  <si>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</si>
  <si>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</si>
  <si>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</si>
  <si>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</si>
  <si>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</si>
  <si>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</si>
  <si>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</si>
  <si>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</si>
  <si>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</si>
  <si>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</si>
  <si>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</si>
  <si>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</si>
  <si>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</si>
  <si>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</si>
  <si>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</si>
  <si>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</si>
  <si>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</si>
  <si>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</si>
  <si>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</si>
  <si>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</si>
  <si>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</si>
  <si>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</si>
  <si>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</si>
  <si>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</si>
  <si>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</si>
  <si>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</si>
  <si>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</si>
  <si>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</si>
  <si>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</si>
  <si>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</si>
  <si>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</si>
  <si>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</si>
  <si>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</si>
  <si>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</si>
  <si>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</si>
  <si>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</si>
  <si>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</si>
  <si>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</si>
  <si>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</si>
  <si>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</si>
  <si>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</si>
  <si>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</si>
  <si>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</si>
  <si>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</si>
  <si>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</si>
  <si>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</si>
  <si>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</si>
  <si>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</si>
  <si>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</si>
  <si>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</si>
  <si>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</si>
  <si>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</si>
  <si>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</si>
  <si>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</si>
  <si>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</si>
  <si>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</si>
  <si>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</si>
  <si>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</si>
  <si>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</si>
  <si>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</si>
  <si>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</si>
  <si>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</si>
  <si>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</si>
  <si>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</si>
  <si>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</si>
  <si>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</si>
  <si>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</si>
  <si>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</si>
  <si>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</si>
  <si>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</si>
  <si>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</si>
  <si>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</si>
  <si>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</si>
  <si>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</si>
  <si>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</si>
  <si>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</si>
  <si>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</si>
  <si>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</si>
  <si>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</si>
  <si>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</si>
  <si>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</si>
  <si>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</si>
  <si>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</si>
  <si>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</si>
  <si>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</si>
  <si>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</si>
  <si>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</si>
  <si>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</si>
  <si>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</si>
  <si>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</si>
  <si>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</si>
  <si>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</si>
  <si>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</si>
  <si>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</si>
  <si>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</si>
  <si>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</si>
  <si>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</si>
  <si>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</si>
  <si>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</si>
  <si>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</si>
  <si>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</si>
  <si>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</si>
  <si>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</si>
  <si>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</si>
  <si>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</si>
  <si>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</si>
  <si>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</si>
  <si>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</si>
  <si>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</si>
  <si>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</si>
  <si>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</si>
  <si>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</si>
  <si>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</si>
  <si>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</si>
  <si>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</si>
  <si>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</si>
  <si>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</si>
  <si>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</si>
  <si>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</si>
  <si>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</si>
  <si>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</si>
  <si>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</si>
  <si>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</si>
  <si>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</si>
  <si>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</si>
  <si>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</si>
  <si>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</si>
  <si>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</si>
  <si>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</si>
  <si>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</si>
  <si>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</si>
  <si>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</si>
  <si>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</si>
  <si>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</si>
  <si>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</si>
  <si>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</si>
  <si>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</si>
  <si>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</si>
  <si>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</si>
  <si>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</si>
  <si>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</si>
  <si>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</si>
  <si>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</si>
  <si>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</si>
  <si>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</si>
  <si>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</si>
  <si>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</si>
  <si>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</si>
  <si>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</si>
  <si>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</si>
  <si>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</si>
  <si>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</si>
  <si>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</si>
  <si>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</si>
  <si>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</si>
  <si>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</si>
  <si>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</si>
  <si>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</si>
  <si>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</si>
  <si>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</si>
  <si>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</si>
  <si>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</si>
  <si>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</si>
  <si>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</si>
  <si>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</si>
  <si>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</si>
  <si>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</si>
  <si>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</si>
  <si>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</si>
  <si>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</si>
  <si>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</si>
  <si>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</si>
  <si>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</si>
  <si>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</si>
  <si>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</si>
  <si>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</si>
  <si>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</si>
  <si>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</si>
  <si>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</si>
  <si>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</si>
  <si>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</si>
  <si>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</si>
  <si>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</si>
  <si>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</si>
  <si>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</si>
  <si>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</si>
  <si>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</si>
  <si>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</si>
  <si>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</si>
  <si>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</si>
  <si>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</si>
  <si>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</si>
  <si>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</si>
  <si>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</si>
  <si>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</si>
  <si>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</si>
  <si>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</si>
  <si>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</si>
  <si>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</si>
  <si>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</si>
  <si>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</si>
  <si>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</si>
  <si>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</si>
  <si>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</si>
  <si>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</si>
  <si>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</si>
  <si>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</si>
  <si>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</si>
  <si>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</si>
  <si>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</si>
  <si>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</si>
  <si>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</si>
  <si>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</si>
  <si>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</si>
  <si>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</si>
  <si>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</si>
  <si>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</si>
  <si>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</si>
  <si>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</si>
  <si>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</si>
  <si>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</si>
  <si>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</si>
  <si>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</si>
  <si>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</si>
  <si>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</si>
  <si>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</si>
  <si>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</si>
  <si>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</si>
  <si>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</si>
  <si>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</si>
  <si>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</si>
  <si>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</si>
  <si>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</si>
  <si>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</si>
  <si>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</si>
  <si>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</si>
  <si>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</si>
  <si>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</si>
  <si>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</si>
  <si>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</si>
  <si>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</si>
  <si>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</si>
  <si>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</si>
  <si>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</si>
  <si>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</si>
  <si>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</si>
  <si>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</si>
  <si>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</si>
  <si>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</si>
  <si>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</si>
  <si>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</si>
  <si>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</si>
  <si>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</si>
  <si>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</si>
  <si>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</si>
  <si>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</si>
  <si>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</si>
  <si>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</si>
  <si>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</si>
  <si>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</si>
  <si>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</si>
  <si>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</si>
  <si>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</si>
  <si>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</si>
  <si>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</si>
  <si>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</si>
  <si>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</si>
  <si>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</si>
  <si>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</si>
  <si>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</si>
  <si>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</si>
  <si>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</si>
  <si>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</si>
  <si>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</si>
  <si>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</si>
  <si>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</si>
  <si>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</si>
  <si>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</si>
  <si>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</si>
  <si>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</si>
  <si>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</si>
  <si>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</si>
  <si>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</si>
  <si>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</si>
  <si>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</si>
  <si>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</si>
  <si>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</si>
  <si>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</si>
  <si>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</si>
  <si>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</si>
  <si>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</si>
  <si>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</si>
  <si>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</si>
  <si>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</si>
  <si>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</si>
  <si>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</si>
  <si>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</si>
  <si>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</si>
  <si>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</si>
  <si>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</si>
  <si>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</si>
  <si>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</si>
  <si>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</si>
  <si>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</si>
  <si>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</si>
  <si>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</si>
  <si>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</si>
  <si>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</si>
  <si>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</si>
  <si>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</si>
  <si>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</si>
  <si>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</si>
  <si>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</si>
  <si>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</si>
  <si>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</si>
  <si>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</si>
  <si>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</si>
  <si>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</si>
  <si>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</si>
  <si>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</si>
  <si>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</si>
  <si>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</si>
  <si>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</si>
  <si>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</si>
  <si>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</si>
  <si>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</si>
  <si>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</si>
  <si>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</si>
  <si>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</si>
  <si>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</si>
  <si>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</si>
  <si>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</si>
  <si>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</si>
  <si>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</si>
  <si>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</si>
  <si>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</si>
  <si>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</si>
  <si>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</si>
  <si>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</si>
  <si>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</si>
  <si>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</si>
  <si>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</si>
  <si>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</si>
  <si>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</si>
  <si>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</si>
  <si>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</si>
  <si>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</si>
  <si>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</si>
  <si>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</si>
  <si>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</si>
  <si>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</si>
  <si>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</si>
  <si>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</si>
  <si>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</si>
  <si>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</si>
  <si>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</si>
  <si>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</si>
  <si>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</si>
  <si>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</si>
  <si>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</si>
  <si>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</si>
  <si>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</si>
  <si>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</si>
  <si>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</si>
  <si>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</si>
  <si>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</si>
  <si>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</si>
  <si>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</si>
  <si>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</si>
  <si>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</si>
  <si>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</si>
  <si>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</si>
  <si>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</si>
  <si>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</si>
  <si>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</si>
  <si>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</si>
  <si>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</si>
  <si>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</si>
  <si>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</si>
  <si>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</si>
  <si>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</si>
  <si>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</si>
  <si>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</si>
  <si>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</si>
  <si>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</si>
  <si>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</si>
  <si>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</si>
  <si>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</si>
  <si>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</si>
  <si>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</si>
  <si>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</si>
  <si>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</si>
  <si>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</si>
  <si>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</si>
  <si>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</si>
  <si>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</si>
  <si>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</si>
  <si>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</si>
  <si>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</si>
  <si>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</si>
  <si>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</si>
  <si>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</si>
  <si>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</si>
  <si>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</si>
  <si>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</si>
  <si>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</si>
  <si>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</si>
  <si>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</si>
  <si>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</si>
  <si>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</si>
  <si>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</si>
  <si>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</si>
  <si>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</si>
  <si>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</si>
  <si>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</si>
  <si>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</si>
  <si>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</si>
  <si>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</si>
  <si>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</si>
  <si>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</si>
  <si>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</si>
  <si>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</si>
  <si>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</si>
  <si>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</si>
  <si>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</si>
  <si>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</si>
  <si>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</si>
  <si>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</si>
  <si>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</si>
  <si>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</si>
  <si>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</si>
  <si>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</si>
  <si>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</si>
  <si>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</si>
  <si>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</si>
  <si>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</si>
  <si>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</si>
  <si>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</si>
  <si>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</si>
  <si>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</si>
  <si>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</si>
  <si>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</si>
  <si>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</si>
  <si>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</si>
  <si>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</si>
  <si>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</si>
  <si>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</si>
  <si>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</si>
  <si>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</si>
  <si>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</si>
  <si>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</si>
  <si>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</si>
  <si>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</si>
  <si>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</si>
  <si>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</si>
  <si>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</si>
  <si>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</si>
  <si>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</si>
  <si>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</si>
  <si>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</si>
  <si>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</si>
  <si>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</si>
  <si>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</si>
  <si>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</si>
  <si>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</si>
  <si>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</si>
  <si>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</si>
  <si>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</si>
  <si>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</si>
  <si>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</si>
  <si>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</si>
  <si>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</si>
  <si>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</si>
  <si>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</si>
  <si>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</si>
  <si>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</si>
  <si>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</si>
  <si>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</si>
  <si>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</si>
  <si>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</si>
  <si>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</si>
  <si>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</si>
  <si>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</si>
  <si>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</si>
  <si>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</si>
  <si>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</si>
  <si>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</si>
  <si>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</si>
  <si>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</si>
  <si>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</si>
  <si>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</si>
  <si>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</si>
  <si>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</si>
  <si>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</si>
  <si>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</si>
  <si>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</si>
  <si>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</si>
  <si>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</si>
  <si>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</si>
  <si>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</si>
  <si>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</si>
  <si>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</si>
  <si>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</si>
  <si>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</si>
  <si>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</si>
  <si>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</si>
  <si>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</si>
  <si>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</si>
  <si>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</si>
  <si>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</si>
  <si>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</si>
  <si>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</si>
  <si>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</si>
  <si>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</si>
  <si>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</si>
  <si>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</si>
  <si>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</si>
  <si>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</si>
  <si>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</si>
  <si>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</si>
  <si>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</si>
  <si>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</si>
  <si>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</si>
  <si>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</si>
  <si>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</si>
  <si>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</si>
  <si>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</si>
  <si>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</si>
  <si>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</si>
  <si>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</si>
  <si>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</si>
  <si>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</si>
  <si>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</si>
  <si>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</si>
  <si>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</si>
  <si>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</si>
  <si>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</si>
  <si>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</si>
  <si>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</si>
  <si>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</si>
  <si>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</si>
  <si>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</si>
  <si>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</si>
  <si>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</si>
  <si>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</si>
  <si>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</si>
  <si>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</si>
  <si>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</si>
  <si>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</si>
  <si>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</si>
  <si>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</si>
  <si>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</si>
  <si>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</si>
  <si>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</si>
  <si>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</si>
  <si>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</si>
  <si>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</si>
  <si>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</si>
  <si>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</si>
  <si>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</si>
  <si>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</si>
  <si>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</si>
  <si>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</si>
  <si>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</si>
  <si>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</si>
  <si>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</si>
  <si>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</si>
  <si>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</si>
  <si>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</si>
  <si>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</si>
  <si>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</si>
  <si>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</si>
  <si>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</si>
  <si>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</si>
  <si>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</si>
  <si>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</si>
  <si>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</si>
  <si>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</si>
  <si>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</si>
  <si>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</si>
  <si>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</si>
  <si>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</si>
  <si>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</si>
  <si>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</si>
  <si>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</si>
  <si>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</si>
  <si>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</si>
  <si>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</si>
  <si>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</si>
  <si>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</si>
  <si>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</si>
  <si>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</si>
  <si>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</si>
  <si>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</si>
  <si>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</si>
  <si>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</si>
  <si>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</si>
  <si>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</si>
  <si>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</si>
  <si>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</si>
  <si>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</si>
  <si>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</si>
  <si>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</si>
  <si>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</si>
  <si>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</si>
  <si>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</si>
  <si>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</si>
  <si>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</si>
  <si>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</si>
  <si>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</si>
  <si>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</si>
  <si>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</si>
  <si>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</si>
  <si>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</si>
  <si>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</si>
  <si>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</si>
  <si>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</si>
  <si>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</si>
  <si>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</si>
  <si>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</si>
  <si>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</si>
  <si>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</si>
  <si>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</si>
  <si>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</si>
  <si>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</si>
  <si>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</si>
  <si>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</si>
  <si>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</si>
  <si>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</si>
  <si>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</si>
  <si>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</si>
  <si>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</si>
  <si>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</si>
  <si>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</si>
  <si>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</si>
  <si>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</si>
  <si>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</si>
  <si>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</si>
  <si>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</si>
  <si>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</si>
  <si>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</si>
  <si>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</si>
  <si>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</si>
  <si>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</si>
  <si>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</si>
  <si>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</si>
  <si>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</si>
  <si>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</si>
  <si>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</si>
  <si>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</si>
  <si>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</si>
  <si>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</si>
  <si>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</si>
  <si>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</si>
  <si>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</si>
  <si>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</si>
  <si>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</si>
  <si>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</si>
  <si>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</si>
  <si>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</si>
  <si>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</si>
  <si>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</si>
  <si>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</si>
  <si>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</si>
  <si>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</si>
  <si>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</si>
  <si>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</si>
  <si>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</si>
  <si>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</si>
  <si>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</si>
  <si>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</si>
  <si>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</si>
  <si>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</si>
  <si>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</si>
  <si>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</si>
  <si>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</si>
  <si>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</si>
  <si>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</si>
  <si>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</si>
  <si>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</si>
  <si>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</si>
  <si>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</si>
  <si>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</si>
  <si>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</si>
  <si>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</si>
  <si>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</si>
  <si>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</si>
  <si>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</si>
  <si>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</si>
  <si>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</si>
  <si>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</si>
  <si>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</si>
  <si>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</si>
  <si>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</si>
  <si>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</si>
  <si>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</si>
  <si>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</si>
  <si>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</si>
  <si>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</si>
  <si>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</si>
  <si>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</si>
  <si>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</si>
  <si>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</si>
  <si>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</si>
  <si>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</si>
  <si>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</si>
  <si>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</si>
  <si>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</si>
  <si>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</si>
  <si>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</si>
  <si>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</si>
  <si>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</si>
  <si>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</si>
  <si>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</si>
  <si>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</si>
  <si>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</si>
  <si>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</si>
  <si>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</si>
  <si>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</si>
  <si>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</si>
  <si>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</si>
  <si>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</si>
  <si>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</si>
  <si>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</si>
  <si>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</si>
  <si>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</si>
  <si>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</si>
  <si>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</si>
  <si>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</si>
  <si>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</si>
  <si>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</si>
  <si>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</si>
  <si>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</si>
  <si>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</si>
  <si>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</si>
  <si>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</si>
  <si>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</si>
  <si>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</si>
  <si>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</si>
  <si>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</si>
  <si>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</si>
  <si>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</si>
  <si>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</si>
  <si>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</si>
  <si>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</si>
  <si>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</si>
  <si>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</si>
  <si>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</si>
  <si>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</si>
  <si>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</si>
  <si>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</si>
  <si>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</si>
  <si>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</si>
  <si>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</si>
  <si>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</si>
  <si>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</si>
  <si>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</si>
  <si>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</si>
  <si>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</si>
  <si>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</si>
  <si>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</si>
  <si>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</si>
  <si>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</si>
  <si>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</si>
  <si>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</si>
  <si>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</si>
  <si>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</si>
  <si>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</si>
  <si>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</si>
  <si>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</si>
  <si>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</si>
  <si>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</si>
  <si>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</si>
  <si>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</si>
  <si>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</si>
  <si>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</si>
  <si>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</si>
  <si>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</si>
  <si>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</si>
  <si>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</si>
  <si>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</si>
  <si>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</si>
  <si>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</si>
  <si>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</si>
  <si>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</si>
  <si>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</si>
  <si>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</si>
  <si>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</si>
  <si>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</si>
  <si>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</si>
  <si>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</si>
  <si>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</si>
  <si>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</si>
  <si>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</si>
  <si>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</si>
  <si>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</si>
  <si>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</si>
  <si>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</si>
  <si>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</si>
  <si>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</si>
  <si>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</si>
  <si>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</si>
  <si>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</si>
  <si>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</si>
  <si>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</si>
  <si>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</si>
  <si>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</si>
  <si>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</si>
  <si>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</si>
  <si>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</si>
  <si>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</si>
  <si>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</si>
  <si>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</si>
  <si>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</si>
  <si>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</si>
  <si>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</si>
  <si>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</si>
  <si>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</si>
  <si>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</si>
  <si>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</si>
  <si>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</si>
  <si>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</si>
  <si>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</si>
  <si>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</si>
  <si>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</si>
  <si>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</si>
  <si>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</si>
  <si>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</si>
  <si>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</si>
  <si>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</si>
  <si>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</si>
  <si>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</si>
  <si>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</si>
  <si>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</si>
  <si>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</si>
  <si>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</si>
  <si>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</si>
  <si>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</si>
  <si>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</si>
  <si>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</si>
  <si>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</si>
  <si>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</si>
  <si>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</si>
  <si>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</si>
  <si>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</si>
  <si>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</si>
  <si>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</si>
  <si>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</si>
  <si>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</si>
  <si>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</si>
  <si>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</si>
  <si>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</si>
  <si>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</si>
  <si>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</si>
  <si>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</si>
  <si>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</si>
  <si>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</si>
  <si>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</si>
  <si>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</si>
  <si>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</si>
  <si>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</si>
  <si>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</si>
  <si>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</si>
  <si>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</si>
  <si>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</si>
  <si>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</si>
  <si>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</si>
  <si>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</si>
  <si>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</si>
  <si>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</si>
  <si>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</si>
  <si>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</si>
  <si>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</si>
  <si>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</si>
  <si>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</si>
  <si>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</si>
  <si>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</si>
  <si>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</si>
  <si>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</si>
  <si>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</si>
  <si>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</si>
  <si>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</si>
  <si>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</si>
  <si>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</si>
  <si>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</si>
  <si>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</si>
  <si>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</si>
  <si>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</si>
  <si>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</si>
  <si>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</si>
  <si>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</si>
  <si>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</si>
  <si>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</si>
  <si>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</si>
  <si>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</si>
  <si>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</si>
  <si>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</si>
  <si>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</si>
  <si>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</si>
  <si>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</si>
  <si>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</si>
  <si>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</si>
  <si>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</si>
  <si>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</si>
  <si>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</si>
  <si>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</si>
  <si>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</si>
  <si>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</si>
  <si>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</si>
  <si>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</si>
  <si>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</si>
  <si>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</si>
  <si>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</si>
  <si>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</si>
  <si>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</si>
  <si>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</si>
  <si>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</si>
  <si>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</si>
  <si>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</si>
  <si>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</si>
  <si>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</si>
  <si>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</si>
  <si>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</si>
  <si>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</si>
  <si>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</si>
  <si>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</si>
  <si>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</si>
  <si>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</si>
  <si>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</si>
  <si>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</si>
  <si>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</si>
  <si>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</si>
  <si>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</si>
  <si>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</si>
  <si>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</si>
  <si>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</si>
  <si>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</si>
  <si>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</si>
  <si>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</si>
  <si>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</si>
  <si>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</si>
  <si>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</si>
  <si>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</si>
  <si>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</si>
  <si>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</si>
  <si>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</si>
  <si>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</si>
  <si>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</si>
  <si>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</si>
  <si>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</si>
  <si>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</si>
  <si>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</si>
  <si>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</si>
  <si>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</si>
  <si>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</si>
  <si>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</si>
  <si>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</si>
  <si>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</si>
  <si>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</si>
  <si>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</si>
  <si>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</si>
  <si>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</si>
  <si>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</si>
  <si>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</si>
  <si>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</si>
  <si>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</si>
  <si>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</si>
  <si>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</si>
  <si>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</si>
  <si>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</si>
  <si>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</si>
  <si>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</si>
  <si>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</si>
  <si>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</si>
  <si>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</si>
  <si>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</si>
  <si>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</si>
  <si>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</si>
  <si>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</si>
  <si>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</si>
  <si>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</si>
  <si>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</si>
  <si>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</si>
  <si>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</si>
  <si>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</si>
  <si>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</si>
  <si>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</si>
  <si>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</si>
  <si>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</si>
  <si>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</si>
  <si>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</si>
  <si>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</si>
  <si>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</si>
  <si>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</si>
  <si>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</si>
  <si>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</si>
  <si>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</si>
  <si>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</si>
  <si>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</si>
  <si>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</si>
  <si>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</si>
  <si>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</si>
  <si>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</si>
  <si>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</si>
  <si>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</si>
  <si>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</si>
  <si>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</si>
  <si>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</si>
  <si>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</si>
  <si>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</si>
  <si>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</si>
  <si>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</si>
  <si>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</si>
  <si>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</si>
  <si>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</si>
  <si>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</si>
  <si>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</si>
  <si>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</si>
  <si>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</si>
  <si>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</si>
  <si>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</si>
  <si>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</si>
  <si>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</si>
  <si>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</si>
  <si>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</si>
  <si>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</si>
  <si>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</si>
  <si>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</si>
  <si>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</si>
  <si>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</si>
  <si>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</si>
  <si>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</si>
  <si>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</si>
  <si>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</si>
  <si>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</si>
  <si>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</si>
  <si>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</si>
  <si>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</si>
  <si>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</si>
  <si>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</si>
  <si>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</si>
  <si>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</si>
  <si>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</si>
  <si>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</si>
  <si>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</si>
  <si>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</si>
  <si>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</si>
  <si>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</si>
  <si>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</si>
  <si>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</si>
  <si>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</si>
  <si>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</si>
  <si>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</si>
  <si>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</si>
  <si>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</si>
  <si>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</si>
  <si>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</si>
  <si>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</si>
  <si>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</si>
  <si>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</si>
  <si>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</si>
  <si>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</si>
  <si>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</si>
  <si>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</si>
  <si>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</si>
  <si>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</si>
  <si>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</si>
  <si>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</si>
  <si>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</si>
  <si>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</si>
  <si>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</si>
  <si>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</si>
  <si>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</si>
  <si>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</si>
  <si>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</si>
  <si>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</si>
  <si>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</si>
  <si>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</si>
  <si>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</si>
  <si>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</si>
  <si>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</si>
  <si>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</si>
  <si>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</si>
  <si>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</si>
  <si>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</si>
  <si>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</si>
  <si>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</si>
  <si>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</si>
  <si>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</si>
  <si>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</si>
  <si>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</si>
  <si>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</si>
  <si>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</si>
  <si>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</si>
  <si>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</si>
  <si>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</si>
  <si>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</si>
  <si>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</si>
  <si>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</si>
  <si>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</si>
  <si>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</si>
  <si>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</si>
  <si>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</si>
  <si>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</si>
  <si>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</si>
  <si>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</si>
  <si>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</si>
  <si>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</si>
  <si>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</si>
  <si>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</si>
  <si>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</si>
  <si>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</si>
  <si>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</si>
  <si>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</si>
  <si>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</si>
  <si>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</si>
  <si>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</si>
  <si>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</si>
  <si>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</si>
  <si>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</si>
  <si>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</si>
  <si>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</si>
  <si>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</si>
  <si>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</si>
  <si>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</si>
  <si>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</si>
  <si>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</si>
  <si>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</si>
  <si>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</si>
  <si>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</si>
  <si>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</si>
  <si>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</si>
  <si>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</si>
  <si>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</si>
  <si>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</si>
  <si>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</si>
  <si>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</si>
  <si>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</si>
  <si>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</si>
  <si>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</si>
  <si>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</si>
  <si>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</si>
  <si>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</si>
  <si>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</si>
  <si>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</si>
  <si>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</si>
  <si>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</si>
  <si>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</si>
  <si>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</si>
  <si>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</si>
  <si>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</si>
  <si>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</si>
  <si>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</si>
  <si>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</si>
  <si>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</si>
  <si>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</si>
  <si>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</si>
  <si>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</si>
  <si>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</si>
  <si>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</si>
  <si>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</si>
  <si>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</si>
  <si>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</si>
  <si>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</si>
  <si>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</si>
  <si>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</si>
  <si>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</si>
  <si>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</si>
  <si>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</si>
  <si>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</si>
  <si>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</si>
  <si>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</si>
  <si>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</si>
  <si>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</si>
  <si>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</si>
  <si>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</si>
  <si>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</si>
  <si>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</si>
  <si>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</si>
  <si>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</si>
  <si>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</si>
  <si>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</si>
  <si>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</si>
  <si>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</si>
  <si>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</si>
  <si>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</si>
  <si>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</si>
  <si>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</si>
  <si>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</si>
  <si>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</si>
  <si>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</si>
  <si>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</si>
  <si>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</si>
  <si>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</si>
  <si>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</si>
  <si>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</si>
  <si>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</si>
  <si>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</si>
  <si>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</si>
  <si>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</si>
  <si>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</si>
  <si>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</si>
  <si>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</si>
  <si>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</si>
  <si>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</si>
  <si>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</si>
  <si>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</si>
  <si>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</si>
  <si>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</si>
  <si>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</si>
  <si>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</si>
  <si>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</si>
  <si>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</si>
  <si>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</si>
  <si>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</si>
  <si>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</si>
  <si>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</si>
  <si>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</si>
  <si>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</si>
  <si>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</si>
  <si>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</si>
  <si>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</si>
  <si>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</si>
  <si>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</si>
  <si>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</si>
  <si>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</si>
  <si>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</si>
  <si>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</si>
  <si>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</si>
  <si>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</si>
  <si>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</si>
  <si>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</si>
  <si>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</si>
  <si>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</si>
  <si>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</si>
  <si>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</si>
  <si>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</si>
  <si>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</si>
  <si>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</si>
  <si>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</si>
  <si>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</si>
  <si>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</si>
  <si>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</si>
  <si>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</si>
  <si>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</si>
  <si>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</si>
  <si>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</si>
  <si>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</si>
  <si>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</si>
  <si>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</si>
  <si>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</si>
  <si>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</si>
  <si>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</si>
  <si>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</si>
  <si>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</si>
  <si>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</si>
  <si>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</si>
  <si>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</si>
  <si>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</si>
  <si>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</si>
  <si>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</si>
  <si>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</si>
  <si>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</si>
  <si>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</si>
  <si>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</si>
  <si>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</si>
  <si>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</si>
  <si>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</si>
  <si>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</si>
  <si>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</si>
  <si>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</si>
  <si>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</si>
  <si>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</si>
  <si>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</si>
  <si>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</si>
  <si>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</si>
  <si>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</si>
  <si>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</si>
  <si>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</si>
  <si>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</si>
  <si>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</si>
  <si>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</si>
  <si>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</si>
  <si>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</si>
  <si>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</si>
  <si>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</si>
  <si>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</si>
  <si>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</si>
  <si>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</si>
  <si>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</si>
  <si>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</si>
  <si>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</si>
  <si>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</si>
  <si>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</si>
  <si>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</si>
  <si>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</si>
  <si>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</si>
  <si>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</si>
  <si>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</si>
  <si>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</si>
  <si>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</si>
  <si>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</si>
  <si>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</si>
  <si>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</si>
  <si>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</si>
  <si>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</si>
  <si>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</si>
  <si>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</si>
  <si>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</si>
  <si>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</si>
  <si>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</si>
  <si>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</si>
  <si>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</si>
  <si>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</si>
  <si>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</si>
  <si>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</si>
  <si>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</si>
  <si>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</si>
  <si>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</si>
  <si>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</si>
  <si>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</si>
  <si>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</si>
  <si>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</si>
  <si>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</si>
  <si>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</si>
  <si>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</si>
  <si>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</si>
  <si>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</si>
  <si>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</si>
  <si>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</si>
  <si>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</si>
  <si>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</si>
  <si>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</si>
  <si>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</si>
  <si>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</si>
  <si>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</si>
  <si>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</si>
  <si>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</si>
  <si>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</si>
  <si>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</si>
  <si>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</si>
  <si>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</si>
  <si>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</si>
  <si>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</si>
  <si>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</si>
  <si>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</si>
  <si>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</si>
  <si>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</si>
  <si>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</si>
  <si>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</si>
  <si>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</si>
  <si>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</si>
  <si>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</si>
  <si>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</si>
  <si>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</si>
  <si>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</si>
  <si>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</si>
  <si>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</si>
  <si>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</si>
  <si>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</si>
  <si>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</si>
  <si>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</si>
  <si>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</si>
  <si>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</si>
  <si>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</si>
  <si>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</si>
  <si>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</si>
  <si>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</si>
  <si>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</si>
  <si>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</si>
  <si>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</si>
  <si>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</si>
  <si>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</si>
  <si>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</si>
  <si>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</si>
  <si>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</si>
  <si>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</si>
  <si>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</si>
  <si>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</si>
  <si>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</si>
  <si>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</si>
  <si>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</si>
  <si>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</si>
  <si>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</si>
  <si>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</si>
  <si>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</si>
  <si>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</si>
  <si>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</si>
  <si>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</si>
  <si>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</si>
  <si>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</si>
  <si>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</si>
  <si>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</si>
  <si>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</si>
  <si>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</si>
  <si>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</si>
  <si>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</si>
  <si>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</si>
  <si>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</si>
  <si>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</si>
  <si>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</si>
  <si>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</si>
  <si>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</si>
  <si>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</si>
  <si>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</si>
  <si>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</si>
  <si>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</si>
  <si>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</si>
  <si>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</si>
  <si>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</si>
  <si>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</si>
  <si>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</si>
  <si>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</si>
  <si>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</si>
  <si>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</si>
  <si>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</si>
  <si>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</si>
  <si>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</si>
  <si>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</si>
  <si>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</si>
  <si>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</si>
  <si>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</si>
  <si>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</si>
  <si>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</si>
  <si>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</si>
  <si>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</si>
  <si>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</si>
  <si>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</si>
  <si>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</si>
  <si>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</si>
  <si>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</si>
  <si>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</si>
  <si>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</si>
  <si>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</si>
  <si>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</si>
  <si>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</si>
  <si>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</si>
  <si>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</si>
  <si>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</si>
  <si>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</si>
  <si>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</si>
  <si>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</si>
  <si>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</si>
  <si>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</si>
  <si>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</si>
  <si>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</si>
  <si>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</si>
  <si>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</si>
  <si>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</si>
  <si>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</si>
  <si>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</si>
  <si>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</si>
  <si>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</si>
  <si>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</si>
  <si>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</si>
  <si>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</si>
  <si>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</si>
  <si>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</si>
  <si>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</si>
  <si>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</si>
  <si>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</si>
  <si>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</si>
  <si>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</si>
  <si>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</si>
  <si>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</si>
  <si>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</si>
  <si>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</si>
  <si>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</si>
  <si>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</si>
  <si>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</si>
  <si>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</si>
  <si>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</si>
  <si>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</si>
  <si>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</si>
  <si>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</si>
  <si>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</si>
  <si>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</si>
  <si>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</si>
  <si>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</si>
  <si>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</si>
  <si>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</si>
  <si>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</si>
  <si>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</si>
  <si>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</si>
  <si>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</si>
  <si>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</si>
  <si>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</si>
  <si>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</si>
  <si>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</si>
  <si>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</si>
  <si>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</si>
  <si>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</si>
  <si>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</si>
  <si>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</si>
  <si>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</si>
  <si>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</si>
  <si>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</si>
  <si>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</si>
  <si>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</si>
  <si>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</si>
  <si>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</si>
  <si>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</si>
  <si>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</si>
  <si>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</si>
  <si>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</si>
  <si>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</si>
  <si>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</si>
  <si>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</si>
  <si>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</si>
  <si>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</si>
  <si>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</si>
  <si>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</si>
  <si>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</si>
  <si>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</si>
  <si>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</si>
  <si>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</si>
  <si>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</si>
  <si>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</si>
  <si>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</si>
  <si>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</si>
  <si>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</si>
  <si>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</si>
  <si>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</si>
  <si>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</si>
  <si>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</si>
  <si>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</si>
  <si>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</si>
  <si>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</si>
  <si>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</si>
  <si>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</si>
  <si>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</si>
  <si>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</si>
  <si>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</si>
  <si>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</si>
  <si>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</si>
  <si>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</si>
  <si>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</si>
  <si>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</si>
  <si>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</si>
  <si>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</si>
  <si>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</si>
  <si>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</si>
  <si>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</si>
  <si>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</si>
  <si>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</si>
  <si>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</si>
  <si>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</si>
  <si>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</si>
  <si>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</si>
  <si>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</si>
  <si>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</si>
  <si>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</si>
  <si>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</si>
  <si>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</si>
  <si>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</si>
  <si>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</si>
  <si>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</si>
  <si>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</si>
  <si>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</si>
  <si>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</si>
  <si>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</si>
  <si>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</si>
  <si>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</si>
  <si>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</si>
  <si>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</si>
  <si>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</si>
  <si>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</si>
  <si>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</si>
  <si>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</si>
  <si>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</si>
  <si>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</si>
  <si>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</si>
  <si>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</si>
  <si>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</si>
  <si>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</si>
  <si>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</si>
  <si>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</si>
  <si>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</si>
  <si>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</si>
  <si>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</si>
  <si>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</si>
  <si>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</si>
  <si>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</si>
  <si>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</si>
  <si>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</si>
  <si>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</si>
  <si>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</si>
  <si>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</si>
  <si>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</si>
  <si>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</si>
  <si>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</si>
  <si>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</si>
  <si>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</si>
  <si>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</si>
  <si>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</si>
  <si>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</si>
  <si>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</si>
  <si>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</si>
  <si>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</si>
  <si>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</si>
  <si>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</si>
  <si>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</si>
  <si>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</si>
  <si>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</si>
  <si>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</si>
  <si>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</si>
  <si>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</si>
  <si>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</si>
  <si>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</si>
  <si>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</si>
  <si>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</si>
  <si>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</si>
  <si>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</si>
  <si>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</si>
  <si>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</si>
  <si>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</si>
  <si>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</si>
  <si>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</si>
  <si>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</si>
  <si>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</si>
  <si>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</si>
  <si>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</si>
  <si>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</si>
  <si>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</si>
  <si>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</si>
  <si>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</si>
  <si>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</si>
  <si>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</si>
  <si>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</si>
  <si>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</si>
  <si>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</si>
  <si>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</si>
  <si>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</si>
  <si>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</si>
  <si>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</si>
  <si>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</si>
  <si>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</si>
  <si>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</si>
  <si>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</si>
  <si>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</si>
  <si>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</si>
  <si>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</si>
  <si>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</si>
  <si>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</si>
  <si>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</si>
  <si>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</si>
  <si>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</si>
  <si>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</si>
  <si>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</si>
  <si>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</si>
  <si>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</si>
  <si>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</si>
  <si>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</si>
  <si>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</si>
  <si>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</si>
  <si>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</si>
  <si>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</si>
  <si>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</si>
  <si>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</si>
  <si>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</si>
  <si>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</si>
  <si>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</si>
  <si>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</si>
  <si>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</si>
  <si>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</si>
  <si>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</si>
  <si>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</si>
  <si>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</si>
  <si>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</si>
  <si>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</si>
  <si>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</si>
  <si>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</si>
  <si>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</si>
  <si>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</si>
  <si>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</si>
  <si>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</si>
  <si>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</si>
  <si>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</si>
  <si>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</si>
  <si>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</si>
  <si>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</si>
  <si>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</si>
  <si>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</si>
  <si>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</si>
  <si>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</si>
  <si>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</si>
  <si>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</si>
  <si>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</si>
  <si>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</si>
  <si>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</si>
  <si>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</si>
  <si>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</si>
  <si>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</si>
  <si>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</si>
  <si>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</si>
  <si>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</si>
  <si>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</si>
  <si>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</si>
  <si>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</si>
  <si>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</si>
  <si>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</si>
  <si>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</si>
  <si>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</si>
  <si>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</si>
  <si>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</si>
  <si>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</si>
  <si>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</si>
  <si>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</si>
  <si>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</si>
  <si>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</si>
  <si>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</si>
  <si>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</si>
  <si>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</si>
  <si>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</si>
  <si>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</si>
  <si>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</si>
  <si>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</si>
  <si>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</si>
  <si>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</si>
  <si>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</si>
  <si>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</si>
  <si>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</si>
  <si>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</si>
  <si>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</si>
  <si>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</si>
  <si>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</si>
  <si>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</si>
  <si>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</si>
  <si>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</si>
  <si>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</si>
  <si>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</si>
  <si>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</si>
  <si>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</si>
  <si>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</si>
  <si>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</si>
  <si>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</si>
  <si>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</si>
  <si>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</si>
  <si>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</si>
  <si>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</si>
  <si>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</si>
  <si>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</si>
  <si>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</si>
  <si>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</si>
  <si>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</si>
  <si>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</si>
  <si>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</si>
  <si>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</si>
  <si>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</si>
  <si>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</si>
  <si>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</si>
  <si>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</si>
  <si>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</si>
  <si>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</si>
  <si>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</si>
  <si>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</si>
  <si>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</si>
  <si>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</si>
  <si>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</si>
  <si>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</si>
  <si>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</si>
  <si>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</si>
  <si>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</si>
  <si>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</si>
  <si>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</si>
  <si>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</si>
  <si>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</si>
  <si>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</si>
  <si>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</si>
  <si>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</si>
  <si>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</si>
  <si>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</si>
  <si>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</si>
  <si>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</si>
  <si>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</si>
  <si>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</si>
  <si>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</si>
  <si>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</si>
  <si>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</si>
  <si>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</si>
  <si>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</si>
  <si>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</si>
  <si>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</si>
  <si>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</si>
  <si>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</si>
  <si>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</si>
  <si>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</si>
  <si>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</si>
  <si>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</si>
  <si>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</si>
  <si>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</si>
  <si>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</si>
  <si>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</si>
  <si>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</si>
  <si>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</si>
  <si>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</si>
  <si>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</si>
  <si>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</si>
  <si>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</si>
  <si>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</si>
  <si>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</si>
  <si>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</si>
  <si>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</si>
  <si>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</si>
  <si>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</si>
  <si>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</si>
  <si>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</si>
  <si>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</si>
  <si>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</si>
  <si>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</si>
  <si>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</si>
  <si>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</si>
  <si>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</si>
  <si>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</si>
  <si>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</si>
  <si>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</si>
  <si>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</si>
  <si>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</si>
  <si>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</si>
  <si>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</si>
  <si>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</si>
  <si>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</si>
  <si>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</si>
  <si>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</si>
  <si>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</si>
  <si>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</si>
  <si>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</si>
  <si>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</si>
  <si>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</si>
  <si>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</si>
  <si>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</si>
  <si>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</si>
  <si>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</si>
  <si>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</si>
  <si>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</si>
  <si>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</si>
  <si>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</si>
  <si>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</si>
  <si>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</si>
  <si>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</si>
  <si>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</si>
  <si>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</si>
  <si>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</si>
  <si>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</si>
  <si>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</si>
  <si>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</si>
  <si>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</si>
  <si>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</si>
  <si>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</si>
  <si>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</si>
  <si>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</si>
  <si>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</si>
  <si>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</si>
  <si>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</si>
  <si>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</si>
  <si>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</si>
  <si>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</si>
  <si>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</si>
  <si>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</si>
  <si>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</si>
  <si>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</si>
  <si>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</si>
  <si>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</si>
  <si>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</si>
  <si>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</si>
  <si>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</si>
  <si>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</si>
  <si>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</si>
  <si>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</si>
  <si>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</si>
  <si>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</si>
  <si>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</si>
  <si>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</si>
  <si>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</si>
  <si>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</si>
  <si>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</si>
  <si>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</si>
  <si>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</si>
  <si>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</si>
  <si>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</si>
  <si>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</si>
  <si>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</si>
  <si>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</si>
  <si>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</si>
  <si>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</si>
  <si>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</si>
  <si>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</si>
  <si>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</si>
  <si>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</si>
  <si>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</si>
  <si>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</si>
  <si>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</si>
  <si>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</si>
  <si>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</si>
  <si>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</si>
  <si>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</si>
  <si>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</si>
  <si>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</si>
  <si>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</si>
  <si>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</si>
  <si>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</si>
  <si>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</si>
  <si>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</si>
  <si>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</si>
  <si>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</si>
  <si>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</si>
  <si>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</si>
  <si>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</si>
  <si>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</si>
  <si>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</si>
  <si>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</si>
  <si>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</si>
  <si>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</si>
  <si>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</si>
  <si>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</si>
  <si>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</si>
  <si>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</si>
  <si>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</si>
  <si>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</si>
  <si>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</si>
  <si>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</si>
  <si>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</si>
  <si>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</si>
  <si>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</si>
  <si>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</si>
  <si>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</si>
  <si>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</si>
  <si>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</si>
  <si>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</si>
  <si>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</si>
  <si>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</si>
  <si>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</si>
  <si>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</si>
  <si>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</si>
  <si>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</si>
  <si>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</si>
  <si>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</si>
  <si>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</si>
  <si>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</si>
  <si>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</si>
  <si>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</si>
  <si>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</si>
  <si>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</si>
  <si>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</si>
  <si>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</si>
  <si>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</si>
  <si>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</si>
  <si>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</si>
  <si>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</si>
  <si>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</si>
  <si>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</si>
  <si>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</si>
  <si>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</si>
  <si>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</si>
  <si>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</si>
  <si>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</si>
  <si>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</si>
  <si>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</si>
  <si>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</si>
  <si>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</si>
  <si>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</si>
  <si>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</si>
  <si>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</si>
  <si>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</si>
  <si>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</si>
  <si>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</si>
  <si>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</si>
  <si>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</si>
  <si>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</si>
  <si>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</si>
  <si>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</si>
  <si>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</si>
  <si>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</si>
  <si>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</si>
  <si>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</si>
  <si>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</si>
  <si>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</si>
  <si>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</si>
  <si>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</si>
  <si>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</si>
  <si>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</si>
  <si>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</si>
  <si>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</si>
  <si>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</si>
  <si>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</si>
  <si>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</si>
  <si>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</si>
  <si>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</si>
  <si>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</si>
  <si>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</si>
  <si>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</si>
  <si>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</si>
  <si>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</si>
  <si>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</si>
  <si>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</si>
  <si>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</si>
  <si>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</si>
  <si>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</si>
  <si>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</si>
  <si>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</si>
  <si>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</si>
  <si>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</si>
  <si>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</si>
  <si>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</si>
  <si>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</si>
  <si>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</si>
  <si>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</si>
  <si>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</si>
  <si>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</si>
  <si>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</si>
  <si>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</si>
  <si>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</si>
  <si>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</si>
  <si>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</si>
  <si>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</si>
  <si>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</si>
  <si>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</si>
  <si>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</si>
  <si>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</si>
  <si>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</si>
  <si>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</si>
  <si>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</si>
  <si>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</si>
  <si>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</si>
  <si>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</si>
  <si>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</si>
  <si>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</si>
  <si>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</si>
  <si>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</si>
  <si>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</si>
  <si>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</si>
  <si>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</si>
  <si>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</si>
  <si>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</si>
  <si>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</si>
  <si>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</si>
  <si>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</si>
  <si>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</si>
  <si>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</si>
  <si>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</si>
  <si>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</si>
  <si>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</si>
  <si>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</si>
  <si>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</si>
  <si>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</si>
  <si>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</si>
  <si>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</si>
  <si>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</si>
  <si>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</si>
  <si>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</si>
  <si>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</si>
  <si>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</si>
  <si>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</si>
  <si>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</si>
  <si>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</si>
  <si>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</si>
  <si>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</si>
  <si>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</si>
  <si>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</si>
  <si>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</si>
  <si>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</si>
  <si>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</si>
  <si>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</si>
  <si>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</si>
  <si>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</si>
  <si>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</si>
  <si>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</si>
  <si>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</si>
  <si>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</si>
  <si>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</si>
  <si>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</si>
  <si>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</si>
  <si>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</si>
  <si>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</si>
  <si>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</si>
  <si>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</si>
  <si>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</si>
  <si>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</si>
  <si>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</si>
  <si>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</si>
  <si>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</si>
  <si>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</si>
  <si>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</si>
  <si>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</si>
  <si>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</si>
  <si>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</si>
  <si>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</si>
  <si>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</si>
  <si>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</si>
  <si>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</si>
  <si>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</si>
  <si>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</si>
  <si>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</si>
  <si>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</si>
  <si>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</si>
  <si>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</si>
  <si>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</si>
  <si>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</si>
  <si>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</si>
  <si>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</si>
  <si>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</si>
  <si>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</si>
  <si>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</si>
  <si>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</si>
  <si>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</si>
  <si>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</si>
  <si>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</si>
  <si>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</si>
  <si>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</si>
  <si>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</si>
  <si>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</si>
  <si>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</si>
  <si>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</si>
  <si>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</si>
  <si>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</si>
  <si>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</si>
  <si>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</si>
  <si>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</si>
  <si>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</si>
  <si>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</si>
  <si>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</si>
  <si>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</si>
  <si>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</si>
  <si>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</si>
  <si>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</si>
  <si>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</si>
  <si>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</si>
  <si>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</si>
  <si>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</si>
  <si>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</si>
  <si>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</si>
  <si>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</si>
  <si>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</si>
  <si>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</si>
  <si>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</si>
  <si>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</si>
  <si>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</si>
  <si>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</si>
  <si>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</si>
  <si>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</si>
  <si>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</si>
  <si>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</si>
  <si>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</si>
  <si>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</si>
  <si>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</si>
  <si>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</si>
  <si>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</si>
  <si>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</si>
  <si>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</si>
  <si>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</si>
  <si>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</si>
  <si>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</si>
  <si>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</si>
  <si>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</si>
  <si>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</si>
  <si>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</si>
  <si>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</si>
  <si>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</si>
  <si>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</si>
  <si>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</si>
  <si>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</si>
  <si>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</si>
  <si>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</si>
  <si>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</si>
  <si>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</si>
  <si>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</si>
  <si>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</si>
  <si>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</si>
  <si>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</si>
  <si>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</si>
  <si>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</si>
  <si>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</si>
  <si>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</si>
  <si>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</si>
  <si>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</si>
  <si>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</si>
  <si>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</si>
  <si>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</si>
  <si>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</si>
  <si>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</si>
  <si>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</si>
  <si>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</si>
  <si>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</si>
  <si>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</si>
  <si>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</si>
  <si>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</si>
  <si>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</si>
  <si>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</si>
  <si>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</si>
  <si>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</si>
  <si>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</si>
  <si>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</si>
  <si>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</si>
  <si>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</si>
  <si>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</si>
  <si>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</si>
  <si>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</si>
  <si>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</si>
  <si>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</si>
  <si>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</si>
  <si>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</si>
  <si>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</si>
  <si>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</si>
  <si>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</si>
  <si>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</si>
  <si>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</si>
  <si>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</si>
  <si>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</si>
  <si>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</si>
  <si>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</si>
  <si>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</si>
  <si>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</si>
  <si>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</si>
  <si>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</si>
  <si>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</si>
  <si>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</si>
  <si>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</si>
  <si>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</si>
  <si>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</si>
  <si>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</si>
  <si>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</si>
  <si>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</si>
  <si>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</si>
  <si>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</si>
  <si>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</si>
  <si>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</si>
  <si>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</si>
  <si>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</si>
  <si>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</si>
  <si>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</si>
  <si>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</si>
  <si>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</si>
  <si>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</si>
  <si>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</si>
  <si>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</si>
  <si>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</si>
  <si>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</si>
  <si>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</si>
  <si>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</si>
  <si>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</si>
  <si>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</si>
  <si>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</si>
  <si>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</si>
  <si>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</si>
  <si>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</si>
  <si>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</si>
  <si>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</si>
  <si>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</si>
  <si>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</si>
  <si>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</si>
  <si>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</si>
  <si>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</si>
  <si>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</si>
  <si>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</si>
  <si>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</si>
  <si>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</si>
  <si>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</si>
  <si>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</si>
  <si>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</si>
  <si>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</si>
  <si>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</si>
  <si>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</si>
  <si>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</si>
  <si>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</si>
  <si>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</si>
  <si>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</si>
  <si>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</si>
  <si>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</si>
  <si>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</si>
  <si>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</si>
  <si>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</si>
  <si>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</si>
  <si>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</si>
  <si>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</si>
  <si>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</si>
  <si>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</si>
  <si>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</si>
  <si>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</si>
  <si>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</si>
  <si>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</si>
  <si>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</si>
  <si>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</si>
  <si>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</si>
  <si>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</si>
  <si>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</si>
  <si>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</si>
  <si>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</si>
  <si>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</si>
  <si>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</si>
  <si>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</si>
  <si>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</si>
  <si>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</si>
  <si>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</si>
  <si>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</si>
  <si>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</si>
  <si>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</si>
  <si>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</si>
  <si>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</si>
  <si>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</si>
  <si>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</si>
  <si>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</si>
  <si>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</si>
  <si>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</si>
  <si>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</si>
  <si>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</si>
  <si>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</si>
  <si>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</si>
  <si>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</si>
  <si>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</si>
  <si>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</si>
  <si>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</si>
  <si>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</si>
  <si>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</si>
  <si>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</si>
  <si>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</si>
  <si>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</si>
  <si>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</si>
  <si>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</si>
  <si>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</si>
  <si>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</si>
  <si>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</si>
  <si>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</si>
  <si>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</si>
  <si>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</si>
  <si>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</si>
  <si>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</si>
  <si>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</si>
  <si>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</si>
  <si>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</si>
  <si>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</si>
  <si>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</si>
  <si>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</si>
  <si>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</si>
  <si>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</si>
  <si>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</si>
  <si>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</si>
  <si>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</si>
  <si>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</si>
  <si>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</si>
  <si>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</si>
  <si>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</si>
  <si>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</si>
  <si>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</si>
  <si>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</si>
  <si>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</si>
  <si>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</si>
  <si>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</si>
  <si>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</si>
  <si>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</si>
  <si>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</si>
  <si>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</si>
  <si>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</si>
  <si>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</si>
  <si>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</si>
  <si>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</si>
  <si>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</si>
  <si>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</si>
  <si>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</si>
  <si>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</si>
  <si>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</si>
  <si>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</si>
  <si>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</si>
  <si>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</si>
  <si>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</si>
  <si>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</si>
  <si>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</si>
  <si>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</si>
  <si>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</si>
  <si>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</si>
  <si>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</si>
  <si>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</si>
  <si>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</si>
  <si>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</si>
  <si>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</si>
  <si>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</si>
  <si>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</si>
  <si>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</si>
  <si>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</si>
  <si>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</si>
  <si>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</si>
  <si>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</si>
  <si>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</si>
  <si>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</si>
  <si>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</si>
  <si>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</si>
  <si>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</si>
  <si>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</si>
  <si>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</si>
  <si>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</si>
  <si>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</si>
  <si>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</si>
  <si>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</si>
  <si>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</si>
  <si>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</si>
  <si>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</si>
  <si>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</si>
  <si>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</si>
  <si>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</si>
  <si>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</si>
  <si>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</si>
  <si>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</si>
  <si>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</si>
  <si>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</si>
  <si>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</si>
  <si>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</si>
  <si>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</si>
  <si>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</si>
  <si>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</si>
  <si>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</si>
  <si>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</si>
  <si>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</si>
  <si>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</si>
  <si>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</si>
  <si>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</si>
  <si>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</si>
  <si>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</si>
  <si>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</si>
  <si>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</si>
  <si>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</si>
  <si>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</si>
  <si>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</si>
  <si>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</si>
  <si>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</si>
  <si>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</si>
  <si>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</si>
  <si>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</si>
  <si>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</si>
  <si>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</si>
  <si>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</si>
  <si>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</si>
  <si>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</si>
  <si>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</si>
  <si>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</si>
  <si>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</si>
  <si>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</si>
  <si>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</si>
  <si>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</si>
  <si>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</si>
  <si>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</si>
  <si>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</si>
  <si>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</si>
  <si>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</si>
  <si>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</si>
  <si>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</si>
  <si>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</si>
  <si>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</si>
  <si>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</si>
  <si>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</si>
  <si>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</si>
  <si>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</si>
  <si>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</si>
  <si>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</si>
  <si>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</si>
  <si>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</si>
  <si>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</si>
  <si>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</si>
  <si>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</si>
  <si>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</si>
  <si>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</si>
  <si>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</si>
  <si>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</si>
  <si>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</si>
  <si>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</si>
  <si>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</si>
  <si>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</si>
  <si>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</si>
  <si>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</si>
  <si>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</si>
  <si>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</si>
  <si>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</si>
  <si>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</si>
  <si>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</si>
  <si>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</si>
  <si>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</si>
  <si>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</si>
  <si>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</si>
  <si>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</si>
  <si>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</si>
  <si>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</si>
  <si>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</si>
  <si>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</si>
  <si>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</si>
  <si>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</si>
  <si>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</si>
  <si>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</si>
  <si>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</si>
  <si>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</si>
  <si>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</si>
  <si>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</si>
  <si>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</si>
  <si>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</si>
  <si>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</si>
  <si>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</si>
  <si>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</si>
  <si>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</si>
  <si>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</si>
  <si>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</si>
  <si>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</si>
  <si>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</si>
  <si>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</si>
  <si>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</si>
  <si>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</si>
  <si>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</si>
  <si>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</si>
  <si>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</si>
  <si>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</si>
  <si>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</si>
  <si>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</si>
  <si>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</si>
  <si>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</si>
  <si>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</si>
  <si>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</si>
  <si>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</si>
  <si>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</si>
  <si>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</si>
  <si>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</si>
  <si>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</si>
  <si>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</si>
  <si>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</si>
  <si>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</si>
  <si>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</si>
  <si>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</si>
  <si>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</si>
  <si>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</si>
  <si>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</si>
  <si>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</si>
  <si>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</si>
  <si>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</si>
  <si>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</si>
  <si>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</si>
  <si>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</si>
  <si>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</si>
  <si>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</si>
  <si>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</si>
  <si>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</si>
  <si>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</si>
  <si>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</si>
  <si>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</si>
  <si>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</si>
  <si>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</si>
  <si>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</si>
  <si>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</si>
  <si>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</si>
  <si>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</si>
  <si>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</si>
  <si>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</si>
  <si>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</si>
  <si>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</si>
  <si>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</si>
  <si>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</si>
  <si>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</si>
  <si>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</si>
  <si>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</si>
  <si>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</si>
  <si>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</si>
  <si>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</si>
  <si>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</si>
  <si>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</si>
  <si>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</si>
  <si>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</si>
  <si>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</si>
  <si>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</si>
  <si>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</si>
  <si>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</si>
  <si>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</si>
  <si>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</si>
  <si>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</si>
  <si>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</si>
  <si>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</si>
  <si>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</si>
  <si>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</si>
  <si>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</si>
  <si>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</si>
  <si>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</si>
  <si>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</si>
  <si>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</si>
  <si>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</si>
  <si>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</si>
  <si>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</si>
  <si>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</si>
  <si>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</si>
  <si>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</si>
  <si>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</si>
  <si>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</si>
  <si>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</si>
  <si>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</si>
  <si>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</si>
  <si>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</si>
  <si>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</si>
  <si>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</si>
  <si>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</si>
  <si>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</si>
  <si>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</si>
  <si>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</si>
  <si>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</si>
  <si>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</si>
  <si>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</si>
  <si>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</si>
  <si>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</si>
  <si>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</si>
  <si>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</si>
  <si>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</si>
  <si>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</si>
  <si>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</si>
  <si>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</si>
  <si>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</si>
  <si>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</si>
  <si>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</si>
  <si>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</si>
  <si>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</si>
  <si>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</si>
  <si>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</si>
  <si>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</si>
  <si>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</si>
  <si>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</si>
  <si>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</si>
  <si>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</si>
  <si>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</si>
  <si>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</si>
  <si>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</si>
  <si>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</si>
  <si>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</si>
  <si>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</si>
  <si>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</si>
  <si>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</si>
  <si>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</si>
  <si>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</si>
  <si>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</si>
  <si>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</si>
  <si>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</si>
  <si>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</si>
  <si>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</si>
  <si>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</si>
  <si>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</si>
  <si>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</si>
  <si>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</si>
  <si>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</si>
  <si>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</si>
  <si>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</si>
  <si>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</si>
  <si>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</si>
  <si>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</si>
  <si>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</si>
  <si>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</si>
  <si>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</si>
  <si>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</si>
  <si>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</si>
  <si>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</si>
  <si>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</si>
  <si>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</si>
  <si>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</si>
  <si>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</si>
  <si>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</si>
  <si>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</si>
  <si>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</si>
  <si>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</si>
  <si>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</si>
  <si>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</si>
  <si>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</si>
  <si>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</si>
  <si>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</si>
  <si>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</si>
  <si>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</si>
  <si>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</si>
  <si>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</si>
  <si>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</si>
  <si>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</si>
  <si>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</si>
  <si>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</si>
  <si>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</si>
  <si>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</si>
  <si>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</si>
  <si>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</si>
  <si>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</si>
  <si>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</si>
  <si>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</si>
  <si>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</si>
  <si>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</si>
  <si>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</si>
  <si>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</si>
  <si>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</si>
  <si>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</si>
  <si>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</si>
  <si>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</si>
  <si>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</si>
  <si>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</si>
  <si>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</si>
  <si>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</si>
  <si>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</si>
  <si>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</si>
  <si>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</si>
  <si>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</si>
  <si>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</si>
  <si>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</si>
  <si>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</si>
  <si>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</si>
  <si>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</si>
  <si>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</si>
  <si>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</si>
  <si>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</si>
  <si>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</si>
  <si>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</si>
  <si>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</si>
  <si>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</si>
  <si>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</si>
  <si>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</si>
  <si>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</si>
  <si>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</si>
  <si>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</si>
  <si>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</si>
  <si>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</si>
  <si>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</si>
  <si>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</si>
  <si>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</si>
  <si>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</si>
  <si>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</si>
  <si>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</si>
  <si>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</si>
  <si>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</si>
  <si>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</si>
  <si>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</si>
  <si>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</si>
  <si>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</si>
  <si>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</si>
  <si>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</si>
  <si>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</si>
  <si>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</si>
  <si>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</si>
  <si>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</si>
  <si>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</si>
  <si>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</si>
  <si>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</si>
  <si>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</si>
  <si>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</si>
  <si>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</si>
  <si>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</si>
  <si>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</si>
  <si>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</si>
  <si>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</si>
  <si>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</si>
  <si>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</si>
  <si>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</si>
  <si>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</si>
  <si>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</si>
  <si>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</si>
  <si>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</si>
  <si>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</si>
  <si>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</si>
  <si>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</si>
  <si>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</si>
  <si>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</si>
  <si>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</si>
  <si>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</si>
  <si>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</si>
  <si>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</si>
  <si>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</si>
  <si>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</si>
  <si>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</si>
  <si>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</si>
  <si>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</si>
  <si>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</si>
  <si>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</si>
  <si>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</si>
  <si>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</si>
  <si>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</si>
  <si>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</si>
  <si>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</si>
  <si>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</si>
  <si>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</si>
  <si>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</si>
  <si>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</si>
  <si>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</si>
  <si>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</si>
  <si>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</si>
  <si>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</si>
  <si>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</si>
  <si>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</si>
  <si>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</si>
  <si>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</si>
  <si>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</si>
  <si>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</si>
  <si>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</si>
  <si>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</si>
  <si>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</si>
  <si>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</si>
  <si>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</si>
  <si>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</si>
  <si>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</si>
  <si>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</si>
  <si>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</si>
  <si>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</si>
  <si>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</si>
  <si>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</si>
  <si>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</si>
  <si>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</si>
  <si>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</si>
  <si>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</si>
  <si>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</si>
  <si>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</si>
  <si>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</si>
  <si>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</si>
  <si>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</si>
  <si>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</si>
  <si>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</si>
  <si>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</si>
  <si>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</si>
  <si>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</si>
  <si>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</si>
  <si>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</si>
  <si>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</si>
  <si>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</si>
  <si>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</si>
  <si>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</si>
  <si>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</si>
  <si>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</si>
  <si>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</si>
  <si>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</si>
  <si>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</si>
  <si>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</si>
  <si>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</si>
  <si>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</si>
  <si>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</si>
  <si>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</si>
  <si>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</si>
  <si>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</si>
  <si>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</si>
  <si>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</si>
  <si>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</si>
  <si>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</si>
  <si>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</si>
  <si>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</si>
  <si>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</si>
  <si>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</si>
  <si>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</si>
  <si>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</si>
  <si>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</si>
  <si>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</si>
  <si>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</si>
  <si>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</si>
  <si>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</si>
  <si>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</si>
  <si>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</si>
  <si>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</si>
  <si>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</si>
  <si>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</si>
  <si>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</si>
  <si>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</si>
  <si>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</si>
  <si>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</si>
  <si>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</si>
  <si>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</si>
  <si>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</si>
  <si>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</si>
  <si>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</si>
  <si>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</si>
  <si>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</si>
  <si>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</si>
  <si>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</si>
  <si>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</si>
  <si>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</si>
  <si>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</si>
  <si>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</si>
  <si>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</si>
  <si>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</si>
  <si>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</si>
  <si>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</si>
  <si>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</si>
  <si>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</si>
  <si>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</si>
  <si>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</si>
  <si>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</si>
  <si>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</si>
  <si>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</si>
  <si>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</si>
  <si>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</si>
  <si>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</si>
  <si>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</si>
  <si>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</si>
  <si>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</si>
  <si>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</si>
  <si>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</si>
  <si>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</si>
  <si>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</si>
  <si>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</si>
  <si>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</si>
  <si>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</si>
  <si>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</si>
  <si>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</si>
  <si>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</si>
  <si>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</si>
  <si>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</si>
  <si>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</si>
  <si>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</si>
  <si>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</si>
  <si>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</si>
  <si>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</si>
  <si>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</si>
  <si>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</si>
  <si>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</si>
  <si>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</si>
  <si>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</si>
  <si>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</si>
  <si>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</si>
  <si>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</si>
  <si>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</si>
  <si>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</si>
  <si>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</si>
  <si>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</si>
  <si>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</si>
  <si>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</si>
  <si>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</si>
  <si>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</si>
  <si>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</si>
  <si>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</si>
  <si>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</si>
  <si>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</si>
  <si>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</si>
  <si>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</si>
  <si>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</si>
  <si>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</si>
  <si>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</si>
  <si>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</si>
  <si>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</si>
  <si>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</si>
  <si>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</si>
  <si>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</si>
  <si>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</si>
  <si>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</si>
  <si>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</si>
  <si>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</si>
  <si>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</si>
  <si>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</si>
  <si>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</si>
  <si>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</si>
  <si>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</si>
  <si>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</si>
  <si>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</si>
  <si>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</si>
  <si>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</si>
  <si>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</si>
  <si>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</si>
  <si>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</si>
  <si>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</si>
  <si>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</si>
  <si>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</si>
  <si>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</si>
  <si>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</si>
  <si>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</si>
  <si>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</si>
  <si>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</si>
  <si>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</si>
  <si>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</si>
  <si>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</si>
  <si>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</si>
  <si>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</si>
  <si>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</si>
  <si>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</si>
  <si>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</si>
  <si>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</si>
  <si>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</si>
  <si>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</si>
  <si>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</si>
  <si>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</si>
  <si>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</si>
  <si>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</si>
  <si>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</si>
  <si>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</si>
  <si>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</si>
  <si>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</si>
  <si>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</si>
  <si>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</si>
  <si>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</si>
  <si>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</si>
  <si>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</si>
  <si>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</si>
  <si>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</si>
  <si>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</si>
  <si>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</si>
  <si>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</si>
  <si>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</si>
  <si>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</si>
  <si>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</si>
  <si>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</si>
  <si>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</si>
  <si>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</si>
  <si>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</si>
  <si>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</si>
  <si>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</si>
  <si>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</si>
  <si>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</si>
  <si>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</si>
  <si>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</si>
  <si>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</si>
  <si>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</si>
  <si>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</si>
  <si>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</si>
  <si>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</si>
  <si>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</si>
  <si>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</si>
  <si>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</si>
  <si>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</si>
  <si>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</si>
  <si>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</si>
  <si>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</si>
  <si>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</si>
  <si>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</si>
  <si>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</si>
  <si>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</si>
  <si>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</si>
  <si>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</si>
  <si>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</si>
  <si>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</si>
  <si>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</si>
  <si>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</si>
  <si>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</si>
  <si>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</si>
  <si>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</si>
  <si>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</si>
  <si>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</si>
  <si>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</si>
  <si>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</si>
  <si>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</si>
  <si>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</si>
  <si>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</si>
  <si>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</si>
  <si>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</si>
  <si>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</si>
  <si>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</si>
  <si>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</si>
  <si>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</si>
  <si>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</si>
  <si>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</si>
  <si>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</si>
  <si>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</si>
  <si>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</si>
  <si>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</si>
  <si>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</si>
  <si>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</si>
  <si>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</si>
  <si>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</si>
  <si>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</si>
  <si>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</si>
  <si>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</si>
  <si>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</si>
  <si>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</si>
  <si>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</si>
  <si>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</si>
  <si>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</si>
  <si>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</si>
  <si>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</si>
  <si>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</si>
  <si>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</si>
  <si>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</si>
  <si>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</si>
  <si>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</si>
  <si>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</si>
  <si>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</si>
  <si>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</si>
  <si>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</si>
  <si>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</si>
  <si>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</si>
  <si>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</si>
  <si>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</si>
  <si>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</si>
  <si>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</si>
  <si>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</si>
  <si>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</si>
  <si>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</si>
  <si>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</si>
  <si>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</si>
  <si>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</si>
  <si>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</si>
  <si>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</si>
  <si>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</si>
  <si>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</si>
  <si>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</si>
  <si>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</si>
  <si>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</si>
  <si>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</si>
  <si>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</si>
  <si>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</si>
  <si>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</si>
  <si>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</si>
  <si>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</si>
  <si>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</si>
  <si>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</si>
  <si>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</si>
  <si>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</si>
  <si>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</si>
  <si>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</si>
  <si>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</si>
  <si>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</si>
  <si>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</si>
  <si>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</si>
  <si>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</si>
  <si>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</si>
  <si>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</si>
  <si>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</si>
  <si>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</si>
  <si>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</si>
  <si>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</si>
  <si>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</si>
  <si>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</si>
  <si>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</si>
  <si>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</si>
  <si>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</si>
  <si>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</si>
  <si>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</si>
  <si>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</si>
  <si>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</si>
  <si>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</si>
  <si>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</si>
  <si>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</si>
  <si>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</si>
  <si>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</si>
  <si>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</si>
  <si>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</si>
  <si>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</si>
  <si>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</si>
  <si>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</si>
  <si>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</si>
  <si>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</si>
  <si>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</si>
  <si>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</si>
  <si>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</si>
  <si>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</si>
  <si>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</si>
  <si>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</si>
  <si>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</si>
  <si>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</si>
  <si>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</si>
  <si>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</si>
  <si>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</si>
  <si>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</si>
  <si>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</si>
  <si>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</si>
  <si>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</si>
  <si>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</si>
  <si>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</si>
  <si>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</si>
  <si>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</si>
  <si>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</si>
  <si>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</si>
  <si>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</si>
  <si>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</si>
  <si>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</si>
  <si>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</si>
  <si>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</si>
  <si>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</si>
  <si>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</si>
  <si>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</si>
  <si>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</si>
  <si>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</si>
  <si>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</si>
  <si>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</si>
  <si>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</si>
  <si>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</si>
  <si>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</si>
  <si>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</si>
  <si>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</si>
  <si>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</si>
  <si>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</si>
  <si>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</si>
  <si>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</si>
  <si>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</si>
  <si>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</si>
  <si>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</si>
  <si>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</si>
  <si>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</si>
  <si>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</si>
  <si>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</si>
  <si>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</si>
  <si>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</si>
  <si>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</si>
  <si>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</si>
  <si>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</si>
  <si>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</si>
  <si>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</si>
  <si>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</si>
  <si>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</si>
  <si>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</si>
  <si>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</si>
  <si>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</si>
  <si>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</si>
  <si>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</si>
  <si>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</si>
  <si>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</si>
  <si>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</si>
  <si>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</si>
  <si>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</si>
  <si>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</si>
  <si>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</si>
  <si>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</si>
  <si>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</si>
  <si>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</si>
  <si>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</si>
  <si>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</si>
  <si>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</si>
  <si>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</si>
  <si>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</si>
  <si>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</si>
  <si>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</si>
  <si>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</si>
  <si>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</si>
  <si>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</si>
  <si>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</si>
  <si>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</si>
  <si>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</si>
  <si>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</si>
  <si>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</si>
  <si>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</si>
  <si>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</si>
  <si>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</si>
  <si>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</si>
  <si>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</si>
  <si>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</si>
  <si>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</si>
  <si>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</si>
  <si>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</si>
  <si>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</si>
  <si>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</si>
  <si>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</si>
  <si>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</si>
  <si>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</si>
  <si>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</si>
  <si>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</si>
  <si>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</si>
  <si>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</si>
  <si>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</si>
  <si>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</si>
  <si>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</si>
  <si>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</si>
  <si>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</si>
  <si>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</si>
  <si>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</si>
  <si>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</si>
  <si>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</si>
  <si>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</si>
  <si>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</si>
  <si>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</si>
  <si>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</si>
  <si>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</si>
  <si>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</si>
  <si>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</si>
  <si>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</si>
  <si>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</si>
  <si>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</si>
  <si>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</si>
  <si>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</si>
  <si>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</si>
  <si>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</si>
  <si>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</si>
  <si>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</si>
  <si>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</si>
  <si>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</si>
  <si>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</si>
  <si>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</si>
  <si>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</si>
  <si>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</si>
  <si>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</si>
  <si>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</si>
  <si>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</si>
  <si>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</si>
  <si>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</si>
  <si>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</si>
  <si>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</si>
  <si>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</si>
  <si>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</si>
  <si>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</si>
  <si>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</si>
  <si>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</si>
  <si>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</si>
  <si>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</si>
  <si>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</si>
  <si>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</si>
  <si>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</si>
  <si>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</si>
  <si>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</si>
  <si>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</si>
  <si>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</si>
  <si>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</si>
  <si>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</si>
  <si>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</si>
  <si>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</si>
  <si>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</si>
  <si>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</si>
  <si>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</si>
  <si>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</si>
  <si>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</si>
  <si>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</si>
  <si>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</si>
  <si>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</si>
  <si>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</si>
  <si>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</si>
  <si>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</si>
  <si>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</si>
  <si>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</si>
  <si>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</si>
  <si>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</si>
  <si>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</si>
  <si>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</si>
  <si>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</si>
  <si>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</si>
  <si>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</si>
  <si>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</si>
  <si>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</si>
  <si>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</si>
  <si>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</si>
  <si>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</si>
  <si>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</si>
  <si>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</si>
  <si>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</si>
  <si>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</si>
  <si>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</si>
  <si>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</si>
  <si>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</si>
  <si>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</si>
  <si>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</si>
  <si>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</si>
  <si>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</si>
  <si>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</si>
  <si>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</si>
  <si>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</si>
  <si>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</si>
  <si>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</si>
  <si>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</si>
  <si>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</si>
  <si>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</si>
  <si>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</si>
  <si>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</si>
  <si>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</si>
  <si>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</si>
  <si>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</si>
  <si>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</si>
  <si>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</si>
  <si>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</si>
  <si>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</si>
  <si>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</si>
  <si>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</si>
  <si>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</si>
  <si>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</si>
  <si>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</si>
  <si>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</si>
  <si>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</si>
  <si>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</si>
  <si>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</si>
  <si>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</si>
  <si>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</si>
  <si>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</si>
  <si>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</si>
  <si>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</si>
  <si>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</si>
  <si>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</si>
  <si>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</si>
  <si>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</si>
  <si>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</si>
  <si>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</si>
  <si>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</si>
  <si>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</si>
  <si>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</si>
  <si>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</si>
  <si>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</si>
  <si>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</si>
  <si>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</si>
  <si>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</si>
  <si>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</si>
  <si>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</si>
  <si>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</si>
  <si>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</si>
  <si>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</si>
  <si>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</si>
  <si>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</si>
  <si>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</si>
  <si>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</si>
  <si>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</si>
  <si>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</si>
  <si>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</si>
  <si>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</si>
  <si>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</si>
  <si>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</si>
  <si>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</si>
  <si>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</si>
  <si>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</si>
  <si>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</si>
  <si>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</si>
  <si>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</si>
  <si>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</si>
  <si>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</si>
  <si>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</si>
  <si>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</si>
  <si>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</si>
  <si>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</si>
  <si>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</si>
  <si>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</si>
  <si>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</si>
  <si>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</si>
  <si>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</si>
  <si>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</si>
  <si>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</si>
  <si>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</si>
  <si>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</si>
  <si>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</si>
  <si>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</si>
  <si>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</si>
  <si>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</si>
  <si>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</si>
  <si>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</si>
  <si>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</si>
  <si>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</si>
  <si>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</si>
  <si>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</si>
  <si>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</si>
  <si>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</si>
  <si>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</si>
  <si>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</si>
  <si>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</si>
  <si>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</si>
  <si>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</si>
  <si>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</si>
  <si>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</si>
  <si>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</si>
  <si>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</si>
  <si>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</si>
  <si>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</si>
  <si>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</si>
  <si>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</si>
  <si>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</si>
  <si>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</si>
  <si>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</si>
  <si>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</si>
  <si>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</si>
  <si>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</si>
  <si>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</si>
  <si>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</si>
  <si>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</si>
  <si>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</si>
  <si>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</si>
  <si>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</si>
  <si>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</si>
  <si>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</si>
  <si>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</si>
  <si>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</si>
  <si>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</si>
  <si>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</si>
  <si>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</si>
  <si>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</si>
  <si>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</si>
  <si>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</si>
  <si>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</si>
  <si>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</si>
  <si>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</si>
  <si>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</si>
  <si>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</si>
  <si>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</si>
  <si>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</si>
  <si>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</si>
  <si>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</si>
  <si>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</si>
  <si>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</si>
  <si>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</si>
  <si>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</si>
  <si>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</si>
  <si>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</si>
  <si>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</si>
  <si>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</si>
  <si>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</si>
  <si>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</si>
  <si>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</si>
  <si>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</si>
  <si>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</si>
  <si>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</si>
  <si>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</si>
  <si>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</si>
  <si>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</si>
  <si>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</si>
  <si>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</si>
  <si>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</si>
  <si>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</si>
  <si>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</si>
  <si>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</si>
  <si>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</si>
  <si>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</si>
  <si>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</si>
  <si>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</si>
  <si>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</si>
  <si>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</si>
  <si>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</si>
  <si>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</si>
  <si>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</si>
  <si>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</si>
  <si>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</si>
  <si>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</si>
  <si>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</si>
  <si>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</si>
  <si>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</si>
  <si>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</si>
  <si>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</si>
  <si>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</si>
  <si>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</si>
  <si>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</si>
  <si>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</si>
  <si>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</si>
  <si>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</si>
  <si>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</si>
  <si>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</si>
  <si>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</si>
  <si>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</si>
  <si>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</si>
  <si>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</si>
  <si>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</si>
  <si>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</si>
  <si>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</si>
  <si>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</si>
  <si>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</si>
  <si>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</si>
  <si>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</si>
  <si>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</si>
  <si>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</si>
  <si>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</si>
  <si>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</si>
  <si>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</si>
  <si>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</si>
  <si>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</si>
  <si>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</si>
  <si>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</si>
  <si>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</si>
  <si>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</si>
  <si>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</si>
  <si>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</si>
  <si>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</si>
  <si>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</si>
  <si>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</si>
  <si>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</si>
  <si>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</si>
  <si>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</si>
  <si>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</si>
  <si>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</si>
  <si>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</si>
  <si>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</si>
  <si>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</si>
  <si>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</si>
  <si>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</si>
  <si>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</si>
  <si>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</si>
  <si>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</si>
  <si>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</si>
  <si>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</si>
  <si>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</si>
  <si>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</si>
  <si>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</si>
  <si>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</si>
  <si>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</si>
  <si>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</si>
  <si>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</si>
  <si>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</si>
  <si>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</si>
  <si>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</si>
  <si>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</si>
  <si>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</si>
  <si>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</si>
  <si>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</si>
  <si>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</si>
  <si>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</si>
  <si>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</si>
  <si>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</si>
  <si>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</si>
  <si>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</si>
  <si>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</si>
  <si>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</si>
  <si>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</si>
  <si>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</si>
  <si>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</si>
  <si>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</si>
  <si>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</si>
  <si>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</si>
  <si>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</si>
  <si>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</si>
  <si>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</si>
  <si>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</si>
  <si>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</si>
  <si>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</si>
  <si>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</si>
  <si>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</si>
  <si>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</si>
  <si>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</si>
  <si>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</si>
  <si>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</si>
  <si>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</si>
  <si>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</si>
  <si>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</si>
  <si>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</si>
  <si>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</si>
  <si>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</si>
  <si>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</si>
  <si>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</si>
  <si>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</si>
  <si>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</si>
  <si>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</si>
  <si>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</si>
  <si>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</si>
  <si>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</si>
  <si>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</si>
  <si>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</si>
  <si>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</si>
  <si>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</si>
  <si>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</si>
  <si>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</si>
  <si>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</si>
  <si>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</si>
  <si>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</si>
  <si>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</si>
  <si>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</si>
  <si>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</si>
  <si>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</si>
  <si>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</si>
  <si>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</si>
  <si>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</si>
  <si>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</si>
  <si>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</si>
  <si>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</si>
  <si>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</si>
  <si>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</si>
  <si>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</si>
  <si>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</si>
  <si>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</si>
  <si>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</si>
  <si>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</si>
  <si>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</si>
  <si>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</si>
  <si>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</si>
  <si>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</si>
  <si>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</si>
  <si>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</si>
  <si>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</si>
  <si>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</si>
  <si>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</si>
  <si>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</si>
  <si>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</si>
  <si>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</si>
  <si>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</si>
  <si>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</si>
  <si>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</si>
  <si>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</si>
  <si>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</si>
  <si>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</si>
  <si>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</si>
  <si>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</si>
  <si>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</si>
  <si>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</si>
  <si>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</si>
  <si>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</si>
  <si>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</si>
  <si>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</si>
  <si>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</si>
  <si>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</si>
  <si>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</si>
  <si>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</si>
  <si>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</si>
  <si>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</si>
  <si>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</si>
  <si>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</si>
  <si>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</si>
  <si>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</si>
  <si>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</si>
  <si>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</si>
  <si>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</si>
  <si>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</si>
  <si>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</si>
  <si>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</si>
  <si>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</si>
  <si>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</si>
  <si>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</si>
  <si>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</si>
  <si>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</si>
  <si>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</si>
  <si>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</si>
  <si>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</si>
  <si>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</si>
  <si>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</si>
  <si>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</si>
  <si>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</si>
  <si>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</si>
  <si>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</si>
  <si>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</si>
  <si>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</si>
  <si>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</si>
  <si>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</si>
  <si>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</si>
  <si>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</si>
  <si>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</si>
  <si>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</si>
  <si>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</si>
  <si>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</si>
  <si>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</si>
  <si>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</si>
  <si>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</si>
  <si>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</si>
  <si>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</si>
  <si>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</si>
  <si>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</si>
  <si>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</si>
  <si>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</si>
  <si>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</si>
  <si>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</si>
  <si>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</si>
  <si>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</si>
  <si>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</si>
  <si>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</si>
  <si>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</si>
  <si>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</si>
  <si>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</si>
  <si>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</si>
  <si>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</si>
  <si>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</si>
  <si>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</si>
  <si>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</si>
  <si>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</si>
  <si>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</si>
  <si>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</si>
  <si>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</si>
  <si>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</si>
  <si>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</si>
  <si>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</si>
  <si>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</si>
  <si>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</si>
  <si>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</si>
  <si>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</si>
  <si>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</si>
  <si>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</si>
  <si>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</si>
  <si>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</si>
  <si>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</si>
  <si>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</si>
  <si>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</si>
  <si>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</si>
  <si>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</si>
  <si>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</si>
  <si>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</si>
  <si>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</si>
  <si>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</si>
  <si>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</si>
  <si>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</si>
  <si>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</si>
  <si>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</si>
  <si>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</si>
  <si>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</si>
  <si>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</si>
  <si>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</si>
  <si>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</si>
  <si>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</si>
  <si>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</si>
  <si>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</si>
  <si>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</si>
  <si>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</si>
  <si>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</si>
  <si>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</si>
  <si>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</si>
  <si>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</si>
  <si>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</si>
  <si>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</si>
  <si>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</si>
  <si>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</si>
  <si>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</si>
  <si>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</si>
  <si>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</si>
  <si>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</si>
  <si>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</si>
  <si>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</si>
  <si>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</si>
  <si>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</si>
  <si>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</si>
  <si>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</si>
  <si>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</si>
  <si>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</si>
  <si>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</si>
  <si>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</si>
  <si>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</si>
  <si>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</si>
  <si>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</si>
  <si>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</si>
  <si>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</si>
  <si>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</si>
  <si>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</si>
  <si>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</si>
  <si>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</si>
  <si>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</si>
  <si>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</si>
  <si>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</si>
  <si>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</si>
  <si>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</si>
  <si>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</si>
  <si>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</si>
  <si>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</si>
  <si>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</si>
  <si>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</si>
  <si>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</si>
  <si>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</si>
  <si>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</si>
  <si>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</si>
  <si>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</si>
  <si>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</si>
  <si>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</si>
  <si>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</si>
  <si>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</si>
  <si>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</si>
  <si>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</si>
  <si>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</si>
  <si>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</si>
  <si>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</si>
  <si>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</si>
  <si>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</si>
  <si>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</si>
  <si>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</si>
  <si>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</si>
  <si>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</si>
  <si>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</si>
  <si>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</si>
  <si>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</si>
  <si>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</si>
  <si>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</si>
  <si>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</si>
  <si>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</si>
  <si>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</si>
  <si>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</si>
  <si>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</si>
  <si>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</si>
  <si>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</si>
  <si>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</si>
  <si>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</si>
  <si>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</si>
  <si>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</si>
  <si>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</si>
  <si>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</si>
  <si>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</si>
  <si>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</si>
  <si>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</si>
  <si>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</si>
  <si>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</si>
  <si>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</si>
  <si>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</si>
  <si>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</si>
  <si>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</si>
  <si>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</si>
  <si>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</si>
  <si>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</si>
  <si>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</si>
  <si>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</si>
  <si>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</si>
  <si>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</si>
  <si>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</si>
  <si>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</si>
  <si>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</si>
  <si>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</si>
  <si>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</si>
  <si>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</si>
  <si>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</si>
  <si>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</si>
  <si>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</si>
  <si>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</si>
  <si>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</si>
  <si>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</si>
  <si>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</si>
  <si>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</si>
  <si>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</si>
  <si>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</si>
  <si>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</si>
  <si>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</si>
  <si>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</si>
  <si>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</si>
  <si>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</si>
  <si>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</si>
  <si>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</si>
  <si>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</si>
  <si>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</si>
  <si>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</si>
  <si>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</si>
  <si>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</si>
  <si>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</si>
  <si>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</si>
  <si>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</si>
  <si>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</si>
  <si>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</si>
  <si>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</si>
  <si>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</si>
  <si>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</si>
  <si>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</si>
  <si>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</si>
  <si>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</si>
  <si>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</si>
  <si>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</si>
  <si>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</si>
  <si>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</si>
  <si>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</si>
  <si>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</si>
  <si>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</si>
  <si>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</si>
  <si>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</si>
  <si>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</si>
  <si>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</si>
  <si>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</si>
  <si>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</si>
  <si>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</si>
  <si>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</si>
  <si>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</si>
  <si>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</si>
  <si>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</si>
  <si>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</si>
  <si>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</si>
  <si>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</si>
  <si>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</si>
  <si>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</si>
  <si>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</si>
  <si>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</si>
  <si>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</si>
  <si>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</si>
  <si>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</si>
  <si>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</si>
  <si>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</si>
  <si>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</si>
  <si>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</si>
  <si>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</si>
  <si>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</si>
  <si>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</si>
  <si>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</si>
  <si>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</si>
  <si>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</si>
  <si>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</si>
  <si>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</si>
  <si>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</si>
  <si>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</si>
  <si>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</si>
  <si>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</si>
  <si>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</si>
  <si>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</si>
  <si>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</si>
  <si>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</si>
  <si>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</si>
  <si>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</si>
  <si>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</si>
  <si>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</si>
  <si>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</si>
  <si>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</si>
  <si>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</si>
  <si>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</si>
  <si>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</si>
  <si>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</si>
  <si>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</si>
  <si>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</si>
  <si>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</si>
  <si>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</si>
  <si>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</si>
  <si>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</si>
  <si>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</si>
  <si>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</si>
  <si>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</si>
  <si>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</si>
  <si>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</si>
  <si>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</si>
  <si>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</si>
  <si>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</si>
  <si>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</si>
  <si>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</si>
  <si>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</si>
  <si>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</si>
  <si>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</si>
  <si>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</si>
  <si>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</si>
  <si>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</si>
  <si>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</si>
  <si>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</si>
  <si>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</si>
  <si>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</si>
  <si>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</si>
  <si>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</si>
  <si>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</si>
  <si>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</si>
  <si>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</si>
  <si>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</si>
  <si>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</si>
  <si>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</si>
  <si>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</si>
  <si>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</si>
  <si>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</si>
  <si>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</si>
  <si>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</si>
  <si>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</si>
  <si>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</si>
  <si>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</si>
  <si>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</si>
  <si>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</si>
  <si>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</si>
  <si>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</si>
  <si>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</si>
  <si>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</si>
  <si>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</si>
  <si>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</si>
  <si>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</si>
  <si>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</si>
  <si>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</si>
  <si>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</si>
  <si>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</si>
  <si>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</si>
  <si>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</si>
  <si>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</si>
  <si>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</si>
  <si>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</si>
  <si>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</si>
  <si>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</si>
  <si>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</si>
  <si>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</si>
  <si>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</si>
  <si>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</si>
  <si>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</si>
  <si>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</si>
  <si>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</si>
  <si>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</si>
  <si>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</si>
  <si>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</si>
  <si>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</si>
  <si>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</si>
  <si>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</si>
  <si>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</si>
  <si>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</si>
  <si>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</si>
  <si>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</si>
  <si>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</si>
  <si>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</si>
  <si>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</si>
  <si>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</si>
  <si>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</si>
  <si>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</si>
  <si>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</si>
  <si>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</si>
  <si>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</si>
  <si>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</si>
  <si>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</si>
  <si>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</si>
  <si>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</si>
  <si>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</si>
  <si>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</si>
  <si>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</si>
  <si>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</si>
  <si>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</si>
  <si>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</si>
  <si>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</si>
  <si>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</si>
  <si>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</si>
  <si>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</si>
  <si>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</si>
  <si>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</si>
  <si>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</si>
  <si>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</si>
  <si>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</si>
  <si>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</si>
  <si>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</si>
  <si>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</si>
  <si>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</si>
  <si>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</si>
  <si>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</si>
  <si>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</si>
  <si>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</si>
  <si>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</si>
  <si>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</si>
  <si>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</si>
  <si>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</si>
  <si>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</si>
  <si>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</si>
  <si>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</si>
  <si>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</si>
  <si>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</si>
  <si>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</si>
  <si>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</si>
  <si>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</si>
  <si>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</si>
  <si>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</si>
  <si>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</si>
  <si>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</si>
  <si>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</si>
  <si>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</si>
  <si>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</si>
  <si>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</si>
  <si>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</si>
  <si>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</si>
  <si>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</si>
  <si>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</si>
  <si>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</si>
  <si>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</si>
  <si>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</si>
  <si>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</si>
  <si>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</si>
  <si>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</si>
  <si>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</si>
  <si>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</si>
  <si>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</si>
  <si>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</si>
  <si>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</si>
  <si>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</si>
  <si>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</si>
  <si>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</si>
  <si>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</si>
  <si>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</si>
  <si>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</si>
  <si>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</si>
  <si>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</si>
  <si>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</si>
  <si>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</si>
  <si>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</si>
  <si>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</si>
  <si>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</si>
  <si>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</si>
  <si>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</si>
  <si>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</si>
  <si>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</si>
  <si>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</si>
  <si>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</si>
  <si>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</si>
  <si>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</si>
  <si>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</si>
  <si>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</si>
  <si>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</si>
  <si>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</si>
  <si>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</si>
  <si>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</si>
  <si>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</si>
  <si>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</si>
  <si>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</si>
  <si>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</si>
  <si>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</si>
  <si>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</si>
  <si>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</si>
  <si>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</si>
  <si>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</si>
  <si>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</si>
  <si>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</si>
  <si>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</si>
  <si>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</si>
  <si>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</si>
  <si>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</si>
  <si>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</si>
  <si>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</si>
  <si>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</si>
  <si>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</si>
  <si>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</si>
  <si>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</si>
  <si>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</si>
  <si>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</si>
  <si>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</si>
  <si>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</si>
  <si>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</si>
  <si>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</si>
  <si>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</si>
  <si>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</si>
  <si>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</si>
  <si>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</si>
  <si>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</si>
  <si>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</si>
  <si>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</si>
  <si>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</si>
  <si>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</si>
  <si>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</si>
  <si>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</si>
  <si>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</si>
  <si>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</si>
  <si>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</si>
  <si>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</si>
  <si>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</si>
  <si>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</si>
  <si>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</si>
  <si>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</si>
  <si>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</si>
  <si>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</si>
  <si>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</si>
  <si>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</si>
  <si>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</si>
  <si>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</si>
  <si>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</si>
  <si>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</si>
  <si>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</si>
  <si>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</si>
  <si>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</si>
  <si>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</si>
  <si>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</si>
  <si>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</si>
  <si>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</si>
  <si>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</si>
  <si>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</si>
  <si>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</si>
  <si>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</si>
  <si>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</si>
  <si>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</si>
  <si>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</si>
  <si>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</si>
  <si>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</si>
  <si>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</si>
  <si>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</si>
  <si>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</si>
  <si>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</si>
  <si>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</si>
  <si>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</si>
  <si>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</si>
  <si>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</si>
  <si>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</si>
  <si>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</si>
  <si>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</si>
  <si>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</si>
  <si>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</si>
  <si>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</si>
  <si>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</si>
  <si>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</si>
  <si>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</si>
  <si>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</si>
  <si>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</si>
  <si>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</si>
  <si>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</si>
  <si>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</si>
  <si>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</si>
  <si>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</si>
  <si>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</si>
  <si>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</si>
  <si>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</si>
  <si>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</si>
  <si>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</si>
  <si>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</si>
  <si>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</si>
  <si>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</si>
  <si>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</si>
  <si>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</si>
  <si>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</si>
  <si>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</si>
  <si>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</si>
  <si>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</si>
  <si>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</si>
  <si>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</si>
  <si>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</si>
  <si>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</si>
  <si>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</si>
  <si>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</si>
  <si>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</si>
  <si>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</si>
  <si>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</si>
  <si>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</si>
  <si>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</si>
  <si>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</si>
  <si>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</si>
  <si>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</si>
  <si>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</si>
  <si>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</si>
  <si>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</si>
  <si>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</si>
  <si>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</si>
  <si>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</si>
  <si>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</si>
  <si>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</si>
  <si>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</si>
  <si>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</si>
  <si>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</si>
  <si>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</si>
  <si>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</si>
  <si>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</si>
  <si>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</si>
  <si>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</si>
  <si>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</si>
  <si>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</si>
  <si>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</si>
  <si>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</si>
  <si>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</si>
  <si>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</si>
  <si>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</si>
  <si>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</si>
  <si>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</si>
  <si>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</si>
  <si>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</si>
  <si>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</si>
  <si>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</si>
  <si>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</si>
  <si>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</si>
  <si>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</si>
  <si>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</si>
  <si>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</si>
  <si>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</si>
  <si>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</si>
  <si>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</si>
  <si>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</si>
  <si>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</si>
  <si>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</si>
  <si>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</si>
  <si>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</si>
  <si>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</si>
  <si>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</si>
  <si>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</si>
  <si>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</si>
  <si>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</si>
  <si>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</si>
  <si>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</si>
  <si>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</si>
  <si>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</si>
  <si>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</si>
  <si>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</si>
  <si>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</si>
  <si>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</si>
  <si>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</si>
  <si>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</si>
  <si>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</si>
  <si>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</si>
  <si>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</si>
  <si>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</si>
  <si>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</si>
  <si>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</si>
  <si>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</si>
  <si>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</si>
  <si>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</si>
  <si>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</si>
  <si>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</si>
  <si>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</si>
  <si>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</si>
  <si>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</si>
  <si>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</si>
  <si>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</si>
  <si>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</si>
  <si>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</si>
  <si>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</si>
  <si>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</si>
  <si>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</si>
  <si>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</si>
  <si>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</si>
  <si>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</si>
  <si>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</si>
  <si>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</si>
  <si>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</si>
  <si>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</si>
  <si>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</si>
  <si>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</si>
  <si>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</si>
  <si>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</si>
  <si>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</si>
  <si>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</si>
  <si>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</si>
  <si>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</si>
  <si>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</si>
  <si>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</si>
  <si>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</si>
  <si>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</si>
  <si>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</si>
  <si>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</si>
  <si>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</si>
  <si>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</si>
  <si>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</si>
  <si>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</si>
  <si>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</si>
  <si>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</si>
  <si>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</si>
  <si>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</si>
  <si>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</si>
  <si>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</si>
  <si>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</si>
  <si>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</si>
  <si>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</si>
  <si>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</si>
  <si>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</si>
  <si>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</si>
  <si>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</si>
  <si>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</si>
  <si>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</si>
  <si>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</si>
  <si>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</si>
  <si>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</si>
  <si>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</si>
  <si>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</si>
  <si>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</si>
  <si>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</si>
  <si>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</si>
  <si>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</si>
  <si>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</si>
  <si>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</si>
  <si>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</si>
  <si>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</si>
  <si>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</si>
  <si>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</si>
  <si>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</si>
  <si>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</si>
  <si>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</si>
  <si>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</si>
  <si>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</si>
  <si>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</si>
  <si>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</si>
  <si>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</si>
  <si>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</si>
  <si>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</si>
  <si>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</si>
  <si>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</si>
  <si>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</si>
  <si>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</si>
  <si>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</si>
  <si>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</si>
  <si>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</si>
  <si>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</si>
  <si>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</si>
  <si>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</si>
  <si>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</si>
  <si>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</si>
  <si>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</si>
  <si>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</si>
  <si>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</si>
  <si>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</si>
  <si>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</si>
  <si>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</si>
  <si>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</si>
  <si>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</si>
  <si>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</si>
  <si>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</si>
  <si>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</si>
  <si>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</si>
  <si>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</si>
  <si>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</si>
  <si>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</si>
  <si>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</si>
  <si>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</si>
  <si>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</si>
  <si>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</si>
  <si>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</si>
  <si>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</si>
  <si>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</si>
  <si>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</si>
  <si>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</si>
  <si>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</si>
  <si>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</si>
  <si>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</si>
  <si>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</si>
  <si>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</si>
  <si>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</si>
  <si>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</si>
  <si>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</si>
  <si>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</si>
  <si>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</si>
  <si>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</si>
  <si>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</si>
  <si>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</si>
  <si>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</si>
  <si>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</si>
  <si>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</si>
  <si>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</si>
  <si>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</si>
  <si>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</si>
  <si>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</si>
  <si>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</si>
  <si>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</si>
  <si>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</si>
  <si>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</si>
  <si>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</si>
  <si>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</si>
  <si>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</si>
  <si>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</si>
  <si>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</si>
  <si>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</si>
  <si>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</si>
  <si>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</si>
  <si>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</si>
  <si>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</si>
  <si>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</si>
  <si>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</si>
  <si>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</si>
  <si>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</si>
  <si>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</si>
  <si>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</si>
  <si>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</si>
  <si>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</si>
  <si>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</si>
  <si>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</si>
  <si>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</si>
  <si>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</si>
  <si>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</si>
  <si>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</si>
  <si>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</si>
  <si>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</si>
  <si>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</si>
  <si>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</si>
  <si>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</si>
  <si>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</si>
  <si>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</si>
  <si>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</si>
  <si>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</si>
  <si>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</si>
  <si>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</si>
  <si>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</si>
  <si>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</si>
  <si>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</si>
  <si>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</si>
  <si>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</si>
  <si>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</si>
  <si>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</si>
  <si>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</si>
  <si>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</si>
  <si>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</si>
  <si>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</si>
  <si>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</si>
  <si>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</si>
  <si>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</si>
  <si>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</si>
  <si>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</si>
  <si>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</si>
  <si>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</si>
  <si>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</si>
  <si>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</si>
  <si>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</si>
  <si>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</si>
  <si>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</si>
  <si>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</si>
  <si>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</si>
  <si>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</si>
  <si>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</si>
  <si>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</si>
  <si>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</si>
  <si>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</si>
  <si>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</si>
  <si>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</si>
  <si>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</si>
  <si>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</si>
  <si>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</si>
  <si>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</si>
  <si>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</si>
  <si>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</si>
  <si>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</si>
  <si>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</si>
  <si>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</si>
  <si>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</si>
  <si>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</si>
  <si>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</si>
  <si>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</si>
  <si>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</si>
  <si>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</si>
  <si>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</si>
  <si>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</si>
  <si>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</si>
  <si>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</si>
  <si>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</si>
  <si>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</si>
  <si>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</si>
  <si>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</si>
  <si>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</si>
  <si>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</si>
  <si>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</si>
  <si>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</si>
  <si>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</si>
  <si>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</si>
  <si>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</si>
  <si>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</si>
  <si>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</si>
  <si>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</si>
  <si>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</si>
  <si>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</si>
  <si>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</si>
  <si>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</si>
  <si>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</si>
  <si>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</si>
  <si>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</si>
  <si>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</si>
  <si>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</si>
  <si>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</si>
  <si>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</si>
  <si>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</si>
  <si>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</si>
  <si>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</si>
  <si>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</si>
  <si>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</si>
  <si>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</si>
  <si>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</si>
  <si>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</si>
  <si>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</si>
  <si>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</si>
  <si>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</si>
  <si>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</si>
  <si>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</si>
  <si>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</si>
  <si>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</si>
  <si>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</si>
  <si>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</si>
  <si>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</si>
  <si>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</si>
  <si>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</si>
  <si>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</si>
  <si>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</si>
  <si>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</si>
  <si>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</si>
  <si>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</si>
  <si>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</si>
  <si>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</si>
  <si>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</si>
  <si>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</si>
  <si>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</si>
  <si>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</si>
  <si>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</si>
  <si>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</si>
  <si>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</si>
  <si>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</si>
  <si>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</si>
  <si>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</si>
  <si>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</si>
  <si>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</si>
  <si>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</si>
  <si>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</si>
  <si>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</si>
  <si>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</si>
  <si>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</si>
  <si>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</si>
  <si>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</si>
  <si>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</si>
  <si>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</si>
  <si>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</si>
  <si>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</si>
  <si>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</si>
  <si>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</si>
  <si>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</si>
  <si>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</si>
  <si>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</si>
  <si>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</si>
  <si>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</si>
  <si>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</si>
  <si>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</si>
  <si>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</si>
  <si>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</si>
  <si>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</si>
  <si>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</si>
  <si>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</si>
  <si>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</si>
  <si>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</si>
  <si>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</si>
  <si>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</si>
  <si>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</si>
  <si>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</si>
  <si>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</si>
  <si>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</si>
  <si>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</si>
  <si>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</si>
  <si>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</si>
  <si>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</si>
  <si>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</si>
  <si>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</si>
  <si>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</si>
  <si>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</si>
  <si>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</si>
  <si>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</si>
  <si>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</si>
  <si>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</si>
  <si>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</si>
  <si>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</si>
  <si>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</si>
  <si>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</si>
  <si>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</si>
  <si>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</si>
  <si>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</si>
  <si>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</si>
  <si>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</si>
  <si>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</si>
  <si>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</si>
  <si>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</si>
  <si>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</si>
  <si>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</si>
  <si>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</si>
  <si>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</si>
  <si>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</si>
  <si>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</si>
  <si>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</si>
  <si>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</si>
  <si>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</si>
  <si>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</si>
  <si>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</si>
  <si>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</si>
  <si>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</si>
  <si>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</si>
  <si>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</si>
  <si>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</si>
  <si>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</si>
  <si>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</si>
  <si>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</si>
  <si>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</si>
  <si>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</si>
  <si>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</si>
  <si>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</si>
  <si>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</si>
  <si>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</si>
  <si>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</si>
  <si>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</si>
  <si>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</si>
  <si>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</si>
  <si>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</si>
  <si>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</si>
  <si>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</si>
  <si>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</si>
  <si>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</si>
  <si>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</si>
  <si>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</si>
  <si>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</si>
  <si>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</si>
  <si>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</si>
  <si>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</si>
  <si>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</si>
  <si>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</si>
  <si>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</si>
  <si>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</si>
  <si>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</si>
  <si>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</si>
  <si>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</si>
  <si>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</si>
  <si>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</si>
  <si>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</si>
  <si>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</si>
  <si>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</si>
  <si>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</si>
  <si>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</si>
  <si>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</si>
  <si>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</si>
  <si>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</si>
  <si>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</si>
  <si>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</si>
  <si>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</si>
  <si>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</si>
  <si>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</si>
  <si>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</si>
  <si>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</si>
  <si>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</si>
  <si>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</si>
  <si>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</si>
  <si>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</si>
  <si>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</si>
  <si>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</si>
  <si>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</si>
  <si>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</si>
  <si>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</si>
  <si>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</si>
  <si>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</si>
  <si>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</si>
  <si>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</si>
  <si>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</si>
  <si>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</si>
  <si>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</si>
  <si>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</si>
  <si>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</si>
  <si>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</si>
  <si>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</si>
  <si>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</si>
  <si>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</si>
  <si>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</si>
  <si>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</si>
  <si>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</si>
  <si>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</si>
  <si>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</si>
  <si>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</si>
  <si>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</si>
  <si>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</si>
  <si>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</si>
  <si>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</si>
  <si>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</si>
  <si>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</si>
  <si>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</si>
  <si>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</si>
  <si>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</si>
  <si>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</si>
  <si>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</si>
  <si>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</si>
  <si>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</si>
  <si>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</si>
  <si>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</si>
  <si>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</si>
  <si>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</si>
  <si>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</si>
  <si>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</si>
  <si>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</si>
  <si>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</si>
  <si>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</si>
  <si>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</si>
  <si>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</si>
  <si>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</si>
  <si>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</si>
  <si>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</si>
  <si>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</si>
  <si>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</si>
  <si>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</si>
  <si>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</si>
  <si>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</si>
  <si>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</si>
  <si>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</si>
  <si>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</si>
  <si>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</si>
  <si>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</si>
  <si>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</si>
  <si>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</si>
  <si>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</si>
  <si>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</si>
  <si>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</si>
  <si>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</si>
  <si>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</si>
  <si>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</si>
  <si>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</si>
  <si>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</si>
  <si>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</si>
  <si>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</si>
  <si>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</si>
  <si>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</si>
  <si>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</si>
  <si>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</si>
  <si>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</si>
  <si>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</si>
  <si>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</si>
  <si>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</si>
  <si>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</si>
  <si>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</si>
  <si>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</si>
  <si>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</si>
  <si>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</si>
  <si>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</si>
  <si>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</si>
  <si>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</si>
  <si>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</si>
  <si>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</si>
  <si>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</si>
  <si>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</si>
  <si>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</si>
  <si>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</si>
  <si>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</si>
  <si>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</si>
  <si>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</si>
  <si>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</si>
  <si>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</si>
  <si>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</si>
  <si>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</si>
  <si>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</si>
  <si>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</si>
  <si>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</si>
  <si>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</si>
  <si>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</si>
  <si>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</si>
  <si>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</si>
  <si>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</si>
  <si>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</si>
  <si>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</si>
  <si>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</si>
  <si>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</si>
  <si>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</si>
  <si>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</si>
  <si>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</si>
  <si>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</si>
  <si>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</si>
  <si>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</si>
  <si>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</si>
  <si>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</si>
  <si>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</si>
  <si>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</si>
  <si>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</si>
  <si>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</si>
  <si>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</si>
  <si>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</si>
  <si>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</si>
  <si>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</si>
  <si>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</si>
  <si>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</si>
  <si>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</si>
  <si>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</si>
  <si>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</si>
  <si>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</si>
  <si>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</si>
  <si>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</si>
  <si>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</si>
  <si>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</si>
  <si>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</si>
  <si>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</si>
  <si>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</si>
  <si>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</si>
  <si>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</si>
  <si>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</si>
  <si>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</si>
  <si>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</si>
  <si>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</si>
  <si>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</si>
  <si>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</si>
  <si>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</si>
  <si>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</si>
  <si>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</si>
  <si>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</si>
  <si>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</si>
  <si>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</si>
  <si>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</si>
  <si>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</si>
  <si>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</si>
  <si>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</si>
  <si>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</si>
  <si>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</si>
  <si>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</si>
  <si>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</si>
  <si>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</si>
  <si>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</si>
  <si>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</si>
  <si>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</si>
  <si>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</si>
  <si>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</si>
  <si>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</si>
  <si>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</si>
  <si>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</si>
  <si>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</si>
  <si>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</si>
  <si>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</si>
  <si>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</si>
  <si>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</si>
  <si>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</si>
  <si>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</si>
  <si>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</si>
  <si>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</si>
  <si>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</si>
  <si>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</si>
  <si>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</si>
  <si>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</si>
  <si>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</si>
  <si>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</si>
  <si>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</si>
  <si>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</si>
  <si>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</si>
  <si>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</si>
  <si>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</si>
  <si>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</si>
  <si>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</si>
  <si>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</si>
  <si>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</si>
  <si>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</si>
  <si>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</si>
  <si>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</si>
  <si>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</si>
  <si>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</si>
  <si>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</si>
  <si>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</si>
  <si>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</si>
  <si>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</si>
  <si>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</si>
  <si>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</si>
  <si>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</si>
  <si>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</si>
  <si>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</si>
  <si>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</si>
  <si>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</si>
  <si>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</si>
  <si>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</si>
  <si>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</si>
  <si>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</si>
  <si>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</si>
  <si>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</si>
  <si>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</si>
  <si>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</si>
  <si>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</si>
  <si>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</si>
  <si>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</si>
  <si>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</si>
  <si>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</si>
  <si>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</si>
  <si>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</si>
  <si>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</si>
  <si>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</si>
  <si>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</si>
  <si>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</si>
  <si>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</si>
  <si>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</si>
  <si>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</si>
  <si>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</si>
  <si>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</si>
  <si>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</si>
  <si>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</si>
  <si>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</si>
  <si>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</si>
  <si>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</si>
  <si>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</si>
  <si>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</si>
  <si>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</si>
  <si>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</si>
  <si>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</si>
  <si>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</si>
  <si>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</si>
  <si>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</si>
  <si>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</si>
  <si>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</si>
  <si>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</si>
  <si>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</si>
  <si>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</si>
  <si>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</si>
  <si>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</si>
  <si>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</si>
  <si>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</si>
  <si>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</si>
  <si>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</si>
  <si>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</si>
  <si>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</si>
  <si>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</si>
  <si>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</si>
  <si>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</si>
  <si>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</si>
  <si>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</si>
  <si>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</si>
  <si>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</si>
  <si>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</si>
  <si>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</si>
  <si>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</si>
  <si>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</si>
  <si>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</si>
  <si>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</si>
  <si>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</si>
  <si>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</si>
  <si>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</si>
  <si>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</si>
  <si>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</si>
  <si>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</si>
  <si>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</si>
  <si>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</si>
  <si>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</si>
  <si>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</si>
  <si>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</si>
  <si>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</si>
  <si>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</si>
  <si>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</si>
  <si>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</si>
  <si>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</si>
  <si>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</si>
  <si>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</si>
  <si>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</si>
  <si>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</si>
  <si>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</si>
  <si>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</si>
  <si>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</si>
  <si>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</si>
  <si>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</si>
  <si>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</si>
  <si>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</si>
  <si>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</si>
  <si>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</si>
  <si>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</si>
  <si>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</si>
  <si>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</si>
  <si>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</si>
  <si>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</si>
  <si>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</si>
  <si>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</si>
  <si>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</si>
  <si>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</si>
  <si>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</si>
  <si>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</si>
  <si>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</si>
  <si>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</si>
  <si>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</si>
  <si>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</si>
  <si>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</si>
  <si>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</si>
  <si>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</si>
  <si>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</si>
  <si>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</si>
  <si>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</si>
  <si>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</si>
  <si>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</si>
  <si>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</si>
  <si>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</si>
  <si>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</si>
  <si>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</si>
  <si>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</si>
  <si>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</si>
  <si>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</si>
  <si>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</si>
  <si>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</si>
  <si>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</si>
  <si>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</si>
  <si>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</si>
  <si>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</si>
  <si>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</si>
  <si>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</si>
  <si>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</si>
  <si>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</si>
  <si>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</si>
  <si>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</si>
  <si>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</si>
  <si>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</si>
  <si>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</si>
  <si>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</si>
  <si>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</si>
  <si>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</si>
  <si>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</si>
  <si>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</si>
  <si>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</si>
  <si>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</si>
  <si>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</si>
  <si>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</si>
  <si>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</si>
  <si>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</si>
  <si>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</si>
  <si>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</si>
  <si>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</si>
  <si>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</si>
  <si>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</si>
  <si>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</si>
  <si>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</si>
  <si>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</si>
  <si>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</si>
  <si>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</si>
  <si>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</si>
  <si>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</si>
  <si>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</si>
  <si>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</si>
  <si>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</si>
  <si>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</si>
  <si>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</si>
  <si>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</si>
  <si>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</si>
  <si>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</si>
  <si>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</si>
  <si>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</si>
  <si>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</si>
  <si>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</si>
  <si>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</si>
  <si>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</si>
  <si>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</si>
  <si>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</si>
  <si>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</si>
  <si>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</si>
  <si>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</si>
  <si>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</si>
  <si>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</si>
  <si>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</si>
  <si>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</si>
  <si>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</si>
  <si>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</si>
  <si>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</si>
  <si>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</si>
  <si>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</si>
  <si>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</si>
  <si>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</si>
  <si>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</si>
  <si>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</si>
  <si>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</si>
  <si>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</si>
  <si>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</si>
  <si>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</si>
  <si>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</si>
  <si>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</si>
  <si>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</si>
  <si>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</si>
  <si>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</si>
  <si>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</si>
  <si>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</si>
  <si>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</si>
  <si>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</si>
  <si>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</si>
  <si>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</si>
  <si>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</si>
  <si>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</si>
  <si>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</si>
  <si>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</si>
  <si>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</si>
  <si>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</si>
  <si>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</si>
  <si>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</si>
  <si>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</si>
  <si>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</si>
  <si>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</si>
  <si>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</si>
  <si>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</si>
  <si>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</si>
  <si>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</si>
  <si>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</si>
  <si>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</si>
  <si>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</si>
  <si>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</si>
  <si>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</si>
  <si>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</si>
  <si>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</si>
  <si>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</si>
  <si>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</si>
  <si>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</si>
  <si>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</si>
  <si>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</si>
  <si>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</si>
  <si>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</si>
  <si>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</si>
  <si>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</si>
  <si>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</si>
  <si>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</si>
  <si>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</si>
  <si>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</si>
  <si>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</si>
  <si>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</si>
  <si>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</si>
  <si>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</si>
  <si>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</si>
  <si>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</si>
  <si>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</si>
  <si>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</si>
  <si>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</si>
  <si>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</si>
  <si>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</si>
  <si>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</si>
  <si>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</si>
  <si>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</si>
  <si>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</si>
  <si>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</si>
  <si>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</si>
  <si>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</si>
  <si>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</si>
  <si>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</si>
  <si>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</si>
  <si>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</si>
  <si>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</si>
  <si>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</si>
  <si>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</si>
  <si>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</si>
  <si>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</si>
  <si>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</si>
  <si>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</si>
  <si>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</si>
  <si>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</si>
  <si>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</si>
  <si>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</si>
  <si>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</si>
  <si>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</si>
  <si>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</si>
  <si>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</si>
  <si>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</si>
  <si>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</si>
  <si>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</si>
  <si>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</si>
  <si>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</si>
  <si>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</si>
  <si>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</si>
  <si>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</si>
  <si>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</si>
  <si>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</si>
  <si>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</si>
  <si>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</si>
  <si>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</si>
  <si>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</si>
  <si>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</si>
  <si>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</si>
  <si>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</si>
  <si>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</si>
  <si>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</si>
  <si>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</si>
  <si>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</si>
  <si>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</si>
  <si>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</si>
  <si>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</si>
  <si>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</si>
  <si>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</si>
  <si>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</si>
  <si>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</si>
  <si>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</si>
  <si>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</si>
  <si>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</si>
  <si>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</si>
  <si>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</si>
  <si>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</si>
  <si>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</si>
  <si>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</si>
  <si>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</si>
  <si>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</si>
  <si>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</si>
  <si>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</si>
  <si>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</si>
  <si>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</si>
  <si>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</si>
  <si>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</si>
  <si>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</si>
  <si>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</si>
  <si>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</si>
  <si>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</si>
  <si>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</si>
  <si>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</si>
  <si>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</si>
  <si>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</si>
  <si>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</si>
  <si>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</si>
  <si>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</si>
  <si>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</si>
  <si>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</si>
  <si>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</si>
  <si>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</si>
  <si>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</si>
  <si>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</si>
  <si>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</si>
  <si>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</si>
  <si>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</si>
  <si>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</si>
  <si>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</si>
  <si>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</si>
  <si>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</si>
  <si>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</si>
  <si>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</si>
  <si>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</si>
  <si>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</si>
  <si>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</si>
  <si>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</si>
  <si>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</si>
  <si>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</si>
  <si>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</si>
  <si>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</si>
  <si>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</si>
  <si>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</si>
  <si>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</si>
  <si>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</si>
  <si>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</si>
  <si>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</si>
  <si>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</si>
  <si>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</si>
  <si>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</si>
  <si>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</si>
  <si>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</si>
  <si>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</si>
  <si>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</si>
  <si>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</si>
  <si>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</si>
  <si>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</si>
  <si>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</si>
  <si>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</si>
  <si>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</si>
  <si>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</si>
  <si>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</si>
  <si>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</si>
  <si>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</si>
  <si>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</si>
  <si>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</si>
  <si>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</si>
  <si>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</si>
  <si>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</si>
  <si>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</si>
  <si>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</si>
  <si>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</si>
  <si>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</si>
  <si>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</si>
  <si>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</si>
  <si>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</si>
  <si>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</si>
  <si>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</si>
  <si>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</si>
  <si>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</si>
  <si>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</si>
  <si>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</si>
  <si>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</si>
  <si>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</si>
  <si>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</si>
  <si>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</si>
  <si>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</si>
  <si>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</si>
  <si>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</si>
  <si>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</si>
  <si>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</si>
  <si>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</si>
  <si>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</si>
  <si>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</si>
  <si>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</si>
  <si>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</si>
  <si>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</si>
  <si>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</si>
  <si>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</si>
  <si>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</si>
  <si>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</si>
  <si>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</si>
  <si>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</si>
  <si>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</si>
  <si>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</si>
  <si>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</si>
  <si>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</si>
  <si>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</si>
  <si>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</si>
  <si>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</si>
  <si>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</si>
  <si>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</si>
  <si>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</si>
  <si>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</si>
  <si>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</si>
  <si>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</si>
  <si>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</si>
  <si>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</si>
  <si>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</si>
  <si>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</si>
  <si>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</si>
  <si>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</si>
  <si>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</si>
  <si>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</si>
  <si>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</si>
  <si>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</si>
  <si>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</si>
  <si>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</si>
  <si>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</si>
  <si>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</si>
  <si>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</si>
  <si>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</si>
  <si>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</si>
  <si>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</si>
  <si>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</si>
  <si>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</si>
  <si>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</si>
  <si>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</si>
  <si>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</si>
  <si>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</si>
  <si>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</si>
  <si>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</si>
  <si>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</si>
  <si>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</si>
  <si>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</si>
  <si>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</si>
  <si>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</si>
  <si>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</si>
  <si>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</si>
  <si>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</si>
  <si>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</si>
  <si>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</si>
  <si>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</si>
  <si>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</si>
  <si>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</si>
  <si>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</si>
  <si>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</si>
  <si>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</si>
  <si>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</si>
  <si>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</si>
  <si>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</si>
  <si>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</si>
  <si>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</si>
  <si>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</si>
  <si>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</si>
  <si>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</si>
  <si>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</si>
  <si>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</si>
  <si>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</si>
  <si>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</si>
  <si>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</si>
  <si>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</si>
  <si>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</si>
  <si>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</si>
  <si>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</si>
  <si>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</si>
  <si>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</si>
  <si>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</si>
  <si>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</si>
  <si>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</si>
  <si>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</si>
  <si>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</si>
  <si>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</si>
  <si>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</si>
  <si>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</si>
  <si>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</si>
  <si>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</si>
  <si>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</si>
  <si>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</si>
  <si>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</si>
  <si>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</si>
  <si>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</si>
  <si>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</si>
  <si>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</si>
  <si>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</si>
  <si>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</si>
  <si>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</si>
  <si>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</si>
  <si>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</si>
  <si>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</si>
  <si>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</si>
  <si>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</si>
  <si>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</si>
  <si>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</si>
  <si>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</si>
  <si>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</si>
  <si>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</si>
  <si>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</si>
  <si>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</si>
  <si>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</si>
  <si>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</si>
  <si>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</si>
  <si>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</si>
  <si>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</si>
  <si>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</si>
  <si>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</si>
  <si>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</si>
  <si>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</si>
  <si>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</si>
  <si>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</si>
  <si>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</si>
  <si>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</si>
  <si>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</si>
  <si>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</si>
  <si>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</si>
  <si>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</si>
  <si>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</si>
  <si>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</si>
  <si>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</si>
  <si>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</si>
  <si>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</si>
  <si>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</si>
  <si>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</si>
  <si>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</si>
  <si>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</si>
  <si>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</si>
  <si>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</si>
  <si>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</si>
  <si>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</si>
  <si>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</si>
  <si>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</si>
  <si>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</si>
  <si>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</si>
  <si>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</si>
  <si>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</si>
  <si>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</si>
  <si>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</si>
  <si>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</si>
  <si>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</si>
  <si>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</si>
  <si>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</si>
  <si>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</si>
  <si>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</si>
  <si>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</si>
  <si>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</si>
  <si>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</si>
  <si>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</si>
  <si>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</si>
  <si>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</si>
  <si>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</si>
  <si>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</si>
  <si>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</si>
  <si>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</si>
  <si>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</si>
  <si>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</si>
  <si>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</si>
  <si>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</si>
  <si>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</si>
  <si>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</si>
  <si>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</si>
  <si>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</si>
  <si>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</si>
  <si>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</si>
  <si>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</si>
  <si>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</si>
  <si>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</si>
  <si>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</si>
  <si>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</si>
  <si>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</si>
  <si>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</si>
  <si>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</si>
  <si>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</si>
  <si>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</si>
  <si>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</si>
  <si>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</si>
  <si>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</si>
  <si>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</si>
  <si>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</si>
  <si>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</si>
  <si>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</si>
  <si>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</si>
  <si>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</si>
  <si>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</si>
  <si>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</si>
  <si>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</si>
  <si>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</si>
  <si>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</si>
  <si>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</si>
  <si>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</si>
  <si>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</si>
  <si>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</si>
  <si>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</si>
  <si>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</si>
  <si>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</si>
  <si>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</si>
  <si>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</si>
  <si>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</si>
  <si>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</si>
  <si>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</si>
  <si>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</si>
  <si>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</si>
  <si>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</si>
  <si>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</si>
  <si>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</si>
  <si>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</si>
  <si>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</si>
  <si>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</si>
  <si>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</si>
  <si>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</si>
  <si>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</si>
  <si>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</si>
  <si>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</si>
  <si>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</si>
  <si>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</si>
  <si>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</si>
  <si>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</si>
  <si>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</si>
  <si>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</si>
  <si>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</si>
  <si>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</si>
  <si>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</si>
  <si>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</si>
  <si>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</si>
  <si>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</si>
  <si>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</si>
  <si>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</si>
  <si>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</si>
  <si>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</si>
  <si>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</si>
  <si>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</si>
  <si>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</si>
  <si>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</si>
  <si>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</si>
  <si>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</si>
  <si>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</si>
  <si>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</si>
  <si>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</si>
  <si>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</si>
  <si>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</si>
  <si>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</si>
  <si>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</si>
  <si>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</si>
  <si>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</si>
  <si>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</si>
  <si>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</si>
  <si>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</si>
  <si>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</si>
  <si>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</si>
  <si>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</si>
  <si>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</si>
  <si>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</si>
  <si>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</si>
  <si>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</si>
  <si>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</si>
  <si>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</si>
  <si>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</si>
  <si>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</si>
  <si>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</si>
  <si>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</si>
  <si>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</si>
  <si>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</si>
  <si>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</si>
  <si>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</si>
  <si>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</si>
  <si>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</si>
  <si>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</si>
  <si>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</si>
  <si>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</si>
  <si>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</si>
  <si>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</si>
  <si>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</si>
  <si>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</si>
  <si>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</si>
  <si>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</si>
  <si>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</si>
  <si>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</si>
  <si>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</si>
  <si>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</si>
  <si>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</si>
  <si>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</si>
  <si>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</si>
  <si>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</si>
  <si>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</si>
  <si>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</si>
  <si>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</si>
  <si>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</si>
  <si>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</si>
  <si>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</si>
  <si>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</si>
  <si>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</si>
  <si>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</si>
  <si>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</si>
  <si>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</si>
  <si>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</si>
  <si>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</si>
  <si>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</si>
  <si>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</si>
  <si>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</si>
  <si>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</si>
  <si>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</si>
  <si>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</si>
  <si>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</si>
  <si>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</si>
  <si>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</si>
  <si>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</si>
  <si>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</si>
  <si>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</si>
  <si>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</si>
  <si>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</si>
  <si>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</si>
  <si>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</si>
  <si>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</si>
  <si>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</si>
  <si>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</si>
  <si>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</si>
  <si>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</si>
  <si>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</si>
  <si>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</si>
  <si>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</si>
  <si>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</si>
  <si>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</si>
  <si>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</si>
  <si>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</si>
  <si>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</si>
  <si>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</si>
  <si>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</si>
  <si>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</si>
  <si>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</si>
  <si>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</si>
  <si>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</si>
  <si>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</si>
  <si>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</si>
  <si>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</si>
  <si>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</si>
  <si>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</si>
  <si>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</si>
  <si>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</si>
  <si>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</si>
  <si>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</si>
  <si>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</si>
  <si>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</si>
  <si>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</si>
  <si>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</si>
  <si>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</si>
  <si>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</si>
  <si>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</si>
  <si>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</si>
  <si>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</si>
  <si>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</si>
  <si>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</si>
  <si>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</si>
  <si>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</si>
  <si>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</si>
  <si>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</si>
  <si>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</si>
  <si>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</si>
  <si>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</si>
  <si>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</si>
  <si>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</si>
  <si>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</si>
  <si>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</si>
  <si>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</si>
  <si>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</si>
  <si>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</si>
  <si>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</si>
  <si>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</si>
  <si>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</si>
  <si>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</si>
  <si>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</si>
  <si>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</si>
  <si>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</si>
  <si>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</si>
  <si>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</si>
  <si>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</si>
  <si>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</si>
  <si>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</si>
  <si>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</si>
  <si>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</si>
  <si>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</si>
  <si>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</si>
  <si>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</si>
  <si>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</si>
  <si>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</si>
  <si>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</si>
  <si>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</si>
  <si>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</si>
  <si>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</si>
  <si>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</si>
  <si>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</si>
  <si>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</si>
  <si>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</si>
  <si>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</si>
  <si>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</si>
  <si>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</si>
  <si>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</si>
  <si>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</si>
  <si>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</si>
  <si>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</si>
  <si>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</si>
  <si>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</si>
  <si>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</si>
  <si>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</si>
  <si>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</si>
  <si>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</si>
  <si>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</si>
  <si>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</si>
  <si>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</si>
  <si>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</si>
  <si>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</si>
  <si>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</si>
  <si>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</si>
  <si>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</si>
  <si>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</si>
  <si>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</si>
  <si>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</si>
  <si>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</si>
  <si>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</si>
  <si>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</si>
  <si>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</si>
  <si>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</si>
  <si>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</si>
  <si>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</si>
  <si>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</si>
  <si>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</si>
  <si>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</si>
  <si>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</si>
  <si>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</si>
  <si>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</si>
  <si>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</si>
  <si>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</si>
  <si>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</si>
  <si>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</si>
  <si>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</si>
  <si>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</si>
  <si>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</si>
  <si>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</si>
  <si>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</si>
  <si>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</si>
  <si>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</si>
  <si>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</si>
  <si>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</si>
  <si>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</si>
  <si>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</si>
  <si>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</si>
  <si>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</si>
  <si>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</si>
  <si>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</si>
  <si>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</si>
  <si>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</si>
  <si>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</si>
  <si>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</si>
  <si>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</si>
  <si>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</si>
  <si>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</si>
  <si>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</si>
  <si>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</si>
  <si>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</si>
  <si>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</si>
  <si>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</si>
  <si>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</si>
  <si>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</si>
  <si>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</si>
  <si>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</si>
  <si>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</si>
  <si>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</si>
  <si>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</si>
  <si>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</si>
  <si>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</si>
  <si>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</si>
  <si>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</si>
  <si>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</si>
  <si>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</si>
  <si>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</si>
  <si>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</si>
  <si>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</si>
  <si>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</si>
  <si>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</si>
  <si>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</si>
  <si>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</si>
  <si>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</si>
  <si>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</si>
  <si>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</si>
  <si>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</si>
  <si>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</si>
  <si>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</si>
  <si>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</si>
  <si>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</si>
  <si>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</si>
  <si>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</si>
  <si>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</si>
  <si>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</si>
  <si>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</si>
  <si>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</si>
  <si>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</si>
  <si>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</si>
  <si>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</si>
  <si>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</si>
  <si>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</si>
  <si>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</si>
  <si>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</si>
  <si>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</si>
  <si>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</si>
  <si>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</si>
  <si>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</si>
  <si>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</si>
  <si>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</si>
  <si>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</si>
  <si>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</si>
  <si>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</si>
  <si>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</si>
  <si>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</si>
  <si>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</si>
  <si>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</si>
  <si>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</si>
  <si>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</si>
  <si>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</si>
  <si>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</si>
  <si>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</si>
  <si>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</si>
  <si>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</si>
  <si>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</si>
  <si>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</si>
  <si>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</si>
  <si>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</si>
  <si>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</si>
  <si>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</si>
  <si>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</si>
  <si>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</si>
  <si>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</si>
  <si>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</si>
  <si>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</si>
  <si>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</si>
  <si>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</si>
  <si>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</si>
  <si>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</si>
  <si>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</si>
  <si>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</si>
  <si>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</si>
  <si>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</si>
  <si>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</si>
  <si>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</si>
  <si>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</si>
  <si>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</si>
  <si>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</si>
  <si>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</si>
  <si>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</si>
  <si>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</si>
  <si>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</si>
  <si>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</si>
  <si>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</si>
  <si>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</si>
  <si>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</si>
  <si>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</si>
  <si>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</si>
  <si>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</si>
  <si>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</si>
  <si>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</si>
  <si>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</si>
  <si>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</si>
  <si>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</si>
  <si>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</si>
  <si>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</si>
  <si>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</si>
  <si>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</si>
  <si>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</si>
  <si>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</si>
  <si>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</si>
  <si>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</si>
  <si>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</si>
  <si>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</si>
  <si>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</si>
  <si>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</si>
  <si>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</si>
  <si>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</si>
  <si>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</si>
  <si>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</si>
  <si>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</si>
  <si>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</si>
  <si>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</si>
  <si>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</si>
  <si>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</si>
  <si>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</si>
  <si>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</si>
  <si>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</si>
  <si>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</si>
  <si>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</si>
  <si>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</si>
  <si>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</si>
  <si>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</si>
  <si>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</si>
  <si>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</si>
  <si>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</si>
  <si>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</si>
  <si>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</si>
  <si>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</si>
  <si>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</si>
  <si>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</si>
  <si>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</si>
  <si>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</si>
  <si>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</si>
  <si>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</si>
  <si>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</si>
  <si>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</si>
  <si>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</si>
  <si>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</si>
  <si>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</si>
  <si>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</si>
  <si>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</si>
  <si>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</si>
  <si>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</si>
  <si>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</si>
  <si>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</si>
  <si>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</si>
  <si>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</si>
  <si>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</si>
  <si>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</si>
  <si>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</si>
  <si>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</si>
  <si>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</si>
  <si>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</si>
  <si>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</si>
  <si>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</si>
  <si>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</si>
  <si>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</si>
  <si>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</si>
  <si>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</si>
  <si>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</si>
  <si>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</si>
  <si>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</si>
  <si>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</si>
  <si>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</si>
  <si>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</si>
  <si>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</si>
  <si>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</si>
  <si>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</si>
  <si>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</si>
  <si>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</si>
  <si>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</si>
  <si>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</si>
  <si>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</si>
  <si>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</si>
  <si>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</si>
  <si>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</si>
  <si>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</si>
  <si>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</si>
  <si>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</si>
  <si>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</si>
  <si>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</si>
  <si>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</si>
  <si>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</si>
  <si>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</si>
  <si>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</si>
  <si>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</si>
  <si>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</si>
  <si>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</si>
  <si>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</si>
  <si>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</si>
  <si>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</si>
  <si>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</si>
  <si>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</si>
  <si>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</si>
  <si>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</si>
  <si>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</si>
  <si>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</si>
  <si>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</si>
  <si>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</si>
  <si>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</si>
  <si>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</si>
  <si>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</si>
  <si>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</si>
  <si>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</si>
  <si>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</si>
  <si>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</si>
  <si>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</si>
  <si>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</si>
  <si>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</si>
  <si>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</si>
  <si>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</si>
  <si>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</si>
  <si>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</si>
  <si>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</si>
  <si>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</si>
  <si>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</si>
  <si>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</si>
  <si>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</si>
  <si>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</si>
  <si>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</si>
  <si>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</si>
  <si>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</si>
  <si>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</si>
  <si>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</si>
  <si>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</si>
  <si>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</si>
  <si>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</si>
  <si>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</si>
  <si>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</si>
  <si>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</si>
  <si>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</si>
  <si>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</si>
  <si>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</si>
  <si>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</si>
  <si>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</si>
  <si>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</si>
  <si>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</si>
  <si>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</si>
  <si>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</si>
  <si>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</si>
  <si>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</si>
  <si>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</si>
  <si>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</si>
  <si>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</si>
  <si>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</si>
  <si>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</si>
  <si>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</si>
  <si>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</si>
  <si>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</si>
  <si>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</si>
  <si>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</si>
  <si>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</si>
  <si>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</si>
  <si>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</si>
  <si>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</si>
  <si>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</si>
  <si>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</si>
  <si>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</si>
  <si>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</si>
  <si>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</si>
  <si>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</si>
  <si>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</si>
  <si>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</si>
  <si>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</si>
  <si>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</si>
  <si>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</si>
  <si>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</si>
  <si>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</si>
  <si>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</si>
  <si>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</si>
  <si>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</si>
  <si>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</si>
  <si>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</si>
  <si>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</si>
  <si>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</si>
  <si>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</si>
  <si>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</si>
  <si>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</si>
  <si>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</si>
  <si>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</si>
  <si>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</si>
  <si>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</si>
  <si>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</si>
  <si>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</si>
  <si>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</si>
  <si>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</si>
  <si>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</si>
  <si>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</si>
  <si>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</si>
  <si>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</si>
  <si>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</si>
  <si>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</si>
  <si>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</si>
  <si>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</si>
  <si>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</si>
  <si>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</si>
  <si>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</si>
  <si>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</si>
  <si>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</si>
  <si>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</si>
  <si>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</si>
  <si>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</si>
  <si>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</si>
  <si>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</si>
  <si>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</si>
  <si>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</si>
  <si>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</si>
  <si>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</si>
  <si>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</si>
  <si>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</si>
  <si>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</si>
  <si>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</si>
  <si>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</si>
  <si>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</si>
  <si>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</si>
  <si>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</si>
  <si>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</si>
  <si>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</si>
  <si>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</si>
  <si>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</si>
  <si>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</si>
  <si>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</si>
  <si>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</si>
  <si>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</si>
  <si>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</si>
  <si>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</si>
  <si>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</si>
  <si>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</si>
  <si>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</si>
  <si>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</si>
  <si>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</si>
  <si>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</si>
  <si>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</si>
  <si>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</si>
  <si>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</si>
  <si>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</si>
  <si>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</si>
  <si>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</si>
  <si>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</si>
  <si>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</si>
  <si>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</si>
  <si>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</si>
  <si>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</si>
  <si>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</si>
  <si>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</si>
  <si>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</si>
  <si>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</si>
  <si>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</si>
  <si>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</si>
  <si>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</si>
  <si>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</si>
  <si>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</si>
  <si>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</si>
  <si>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</si>
  <si>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</si>
  <si>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</si>
  <si>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</si>
  <si>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</si>
  <si>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</si>
  <si>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</si>
  <si>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</si>
  <si>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</si>
  <si>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</si>
  <si>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</si>
  <si>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</si>
  <si>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</si>
  <si>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</si>
  <si>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</si>
  <si>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</si>
  <si>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</si>
  <si>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</si>
  <si>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</si>
  <si>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</si>
  <si>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</si>
  <si>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</si>
  <si>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</si>
  <si>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</si>
  <si>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</si>
  <si>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</si>
  <si>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</si>
  <si>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</si>
  <si>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</si>
  <si>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</si>
  <si>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</si>
  <si>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</si>
  <si>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</si>
  <si>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</si>
  <si>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</si>
  <si>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</si>
  <si>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</si>
  <si>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</si>
  <si>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</si>
  <si>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</si>
  <si>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</si>
  <si>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</si>
  <si>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</si>
  <si>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</si>
  <si>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</si>
  <si>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</si>
  <si>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</si>
  <si>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</si>
  <si>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</si>
  <si>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</si>
  <si>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</si>
  <si>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</si>
  <si>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</si>
  <si>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</si>
  <si>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</si>
  <si>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</si>
  <si>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</si>
  <si>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</si>
  <si>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</si>
  <si>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</si>
  <si>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</si>
  <si>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</si>
  <si>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</si>
  <si>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</si>
  <si>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</si>
  <si>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</si>
  <si>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</si>
  <si>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</si>
  <si>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</si>
  <si>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</si>
  <si>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</si>
  <si>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</si>
  <si>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</si>
  <si>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</si>
  <si>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</si>
  <si>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</si>
  <si>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</si>
  <si>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</si>
  <si>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</si>
  <si>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</si>
  <si>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</si>
  <si>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</si>
  <si>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</si>
  <si>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</si>
  <si>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</si>
  <si>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</si>
  <si>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</si>
  <si>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</si>
  <si>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</si>
  <si>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</si>
  <si>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</si>
  <si>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</si>
  <si>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</si>
  <si>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</si>
  <si>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</si>
  <si>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</si>
  <si>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</si>
  <si>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</si>
  <si>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</si>
  <si>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</si>
  <si>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</si>
  <si>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</si>
  <si>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</si>
  <si>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</si>
  <si>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</si>
  <si>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</si>
  <si>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</si>
  <si>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</si>
  <si>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</si>
  <si>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</si>
  <si>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</si>
  <si>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</si>
  <si>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</si>
  <si>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</si>
  <si>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</si>
  <si>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</si>
  <si>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</si>
  <si>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</si>
  <si>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</si>
  <si>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</si>
  <si>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</si>
  <si>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</si>
  <si>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</si>
  <si>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</si>
  <si>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</si>
  <si>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</si>
  <si>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</si>
  <si>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</si>
  <si>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</si>
  <si>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</si>
  <si>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</si>
  <si>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</si>
  <si>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</si>
  <si>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</si>
  <si>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</si>
  <si>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</si>
  <si>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</si>
  <si>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</si>
  <si>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</si>
  <si>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</si>
  <si>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</si>
  <si>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</si>
  <si>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</si>
  <si>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</si>
  <si>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</si>
  <si>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</si>
  <si>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</si>
  <si>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</si>
  <si>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</si>
  <si>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</si>
  <si>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</si>
  <si>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</si>
  <si>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</si>
  <si>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</si>
  <si>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</si>
  <si>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</si>
  <si>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</si>
  <si>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</si>
  <si>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</si>
  <si>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</si>
  <si>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</si>
  <si>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</si>
  <si>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</si>
  <si>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</si>
  <si>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</si>
  <si>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</si>
  <si>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</si>
  <si>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</si>
  <si>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</si>
  <si>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</si>
  <si>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</si>
  <si>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</si>
  <si>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</si>
  <si>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</si>
  <si>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</si>
  <si>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</si>
  <si>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</si>
  <si>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</si>
  <si>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</si>
  <si>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</si>
  <si>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</si>
  <si>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</si>
  <si>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</si>
  <si>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</si>
  <si>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</si>
  <si>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</si>
  <si>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</si>
  <si>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</si>
  <si>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</si>
  <si>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</si>
  <si>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</si>
  <si>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</si>
  <si>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</si>
  <si>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</si>
  <si>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</si>
  <si>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</si>
  <si>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</si>
  <si>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</si>
  <si>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</si>
  <si>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</si>
  <si>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</si>
  <si>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</si>
  <si>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</si>
  <si>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</si>
  <si>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</si>
  <si>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</si>
  <si>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</si>
  <si>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</si>
  <si>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</si>
  <si>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</si>
  <si>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</si>
  <si>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</si>
  <si>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</si>
  <si>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</si>
  <si>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</si>
  <si>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</si>
  <si>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</si>
  <si>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</si>
  <si>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</si>
  <si>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</si>
  <si>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</si>
  <si>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</si>
  <si>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</si>
  <si>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</si>
  <si>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</si>
  <si>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</si>
  <si>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</si>
  <si>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</si>
  <si>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</si>
  <si>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</si>
  <si>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</si>
  <si>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</si>
  <si>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</si>
  <si>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</si>
  <si>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</si>
  <si>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</si>
  <si>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</si>
  <si>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</si>
  <si>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</si>
  <si>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</si>
  <si>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</si>
  <si>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</si>
  <si>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</si>
  <si>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</si>
  <si>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</si>
  <si>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</si>
  <si>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</si>
  <si>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</si>
  <si>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</si>
  <si>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</si>
  <si>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</si>
  <si>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</si>
  <si>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</si>
  <si>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</si>
  <si>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</si>
  <si>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</si>
  <si>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</si>
  <si>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</si>
  <si>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</si>
  <si>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</si>
  <si>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</si>
  <si>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</si>
  <si>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</si>
  <si>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</si>
  <si>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</si>
  <si>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</si>
  <si>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</si>
  <si>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</si>
  <si>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</si>
  <si>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</si>
  <si>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</si>
  <si>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</si>
  <si>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</si>
  <si>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</si>
  <si>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</si>
  <si>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</si>
  <si>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</si>
  <si>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</si>
  <si>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</si>
  <si>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</si>
  <si>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</si>
  <si>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</si>
  <si>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</si>
  <si>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</si>
  <si>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</si>
  <si>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</si>
  <si>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</si>
  <si>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</si>
  <si>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</si>
  <si>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</si>
  <si>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</si>
  <si>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</si>
  <si>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</si>
  <si>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</si>
  <si>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</si>
  <si>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</si>
  <si>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</si>
  <si>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</si>
  <si>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</si>
  <si>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</si>
  <si>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</si>
  <si>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</si>
  <si>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</si>
  <si>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</si>
  <si>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</si>
  <si>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</si>
  <si>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</si>
  <si>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</si>
  <si>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</si>
  <si>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</si>
  <si>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</si>
  <si>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</si>
  <si>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</si>
  <si>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</si>
  <si>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</si>
  <si>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</si>
  <si>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</si>
  <si>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</si>
  <si>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</si>
  <si>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</si>
  <si>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</si>
  <si>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</si>
  <si>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</si>
  <si>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</si>
  <si>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</si>
  <si>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</si>
  <si>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</si>
  <si>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</si>
  <si>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</si>
  <si>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</si>
  <si>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</si>
  <si>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</si>
  <si>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</si>
  <si>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</si>
  <si>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</si>
  <si>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</si>
  <si>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</si>
  <si>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</si>
  <si>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</si>
  <si>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</si>
  <si>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</si>
  <si>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</si>
  <si>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</si>
  <si>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</si>
  <si>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</si>
  <si>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</si>
  <si>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</si>
  <si>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</si>
  <si>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</si>
  <si>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</si>
  <si>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</si>
  <si>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</si>
  <si>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</si>
  <si>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</si>
  <si>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</si>
  <si>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</si>
  <si>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</si>
  <si>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</si>
  <si>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</si>
  <si>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</si>
  <si>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</si>
  <si>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</si>
  <si>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</si>
  <si>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</si>
  <si>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</si>
  <si>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</si>
  <si>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</si>
  <si>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</si>
  <si>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</si>
  <si>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</si>
  <si>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</si>
  <si>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</si>
  <si>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</si>
  <si>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</si>
  <si>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</si>
  <si>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</si>
  <si>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</si>
  <si>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</si>
  <si>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</si>
  <si>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</si>
  <si>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</si>
  <si>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</si>
  <si>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</si>
  <si>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</si>
  <si>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</si>
  <si>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</si>
  <si>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</si>
  <si>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</si>
  <si>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</si>
  <si>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</si>
  <si>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</si>
  <si>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</si>
  <si>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</si>
  <si>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</si>
  <si>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</si>
  <si>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</si>
  <si>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</si>
  <si>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</si>
  <si>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</si>
  <si>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</si>
  <si>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</si>
  <si>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</si>
  <si>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</si>
  <si>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</si>
  <si>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</si>
  <si>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</si>
  <si>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</si>
  <si>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</si>
  <si>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</si>
  <si>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</si>
  <si>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</si>
  <si>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</si>
  <si>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</si>
  <si>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</si>
  <si>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</si>
  <si>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</si>
  <si>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</si>
  <si>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</si>
  <si>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</si>
  <si>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</si>
  <si>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</si>
  <si>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</si>
  <si>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</si>
  <si>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</si>
  <si>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</si>
  <si>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</si>
  <si>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</si>
  <si>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</si>
  <si>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</si>
  <si>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</si>
  <si>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</si>
  <si>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</si>
  <si>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</si>
  <si>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</si>
  <si>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</si>
  <si>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</si>
  <si>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</si>
  <si>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</si>
  <si>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</si>
  <si>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</si>
  <si>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</si>
  <si>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</si>
  <si>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</si>
  <si>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</si>
  <si>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</si>
  <si>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</si>
  <si>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</si>
  <si>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</si>
  <si>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</si>
  <si>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</si>
  <si>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</si>
  <si>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</si>
  <si>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</si>
  <si>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</si>
  <si>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</si>
  <si>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</si>
  <si>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</si>
  <si>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</si>
  <si>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</si>
  <si>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</si>
  <si>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</si>
  <si>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</si>
  <si>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</si>
  <si>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</si>
  <si>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</si>
  <si>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</si>
  <si>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</si>
  <si>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</si>
  <si>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</si>
  <si>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</si>
  <si>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</si>
  <si>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</si>
  <si>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</si>
  <si>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</si>
  <si>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</si>
  <si>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</si>
  <si>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</si>
  <si>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</si>
  <si>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</si>
  <si>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</si>
  <si>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</si>
  <si>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</si>
  <si>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</si>
  <si>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</si>
  <si>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</si>
  <si>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</si>
  <si>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</si>
  <si>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</si>
  <si>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</si>
  <si>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</si>
  <si>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</si>
  <si>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</si>
  <si>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</si>
  <si>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</si>
  <si>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</si>
  <si>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</si>
  <si>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</si>
  <si>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</si>
  <si>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</si>
  <si>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</si>
  <si>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</si>
  <si>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</si>
  <si>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</si>
  <si>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</si>
  <si>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</si>
  <si>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</si>
  <si>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</si>
  <si>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</si>
  <si>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</si>
  <si>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</si>
  <si>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</si>
  <si>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</si>
  <si>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</si>
  <si>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</si>
  <si>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</si>
  <si>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</si>
  <si>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</si>
  <si>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</si>
  <si>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</si>
  <si>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</si>
  <si>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</si>
  <si>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</si>
  <si>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</si>
  <si>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</si>
  <si>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</si>
  <si>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</si>
  <si>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</si>
  <si>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</si>
  <si>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</si>
  <si>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</si>
  <si>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</si>
  <si>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</si>
  <si>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</si>
  <si>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</si>
  <si>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</si>
  <si>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</si>
  <si>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</si>
  <si>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</si>
  <si>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</si>
  <si>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</si>
  <si>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</si>
  <si>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</si>
  <si>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</si>
  <si>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</si>
  <si>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</si>
  <si>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</si>
  <si>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</si>
  <si>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</si>
  <si>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</si>
  <si>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</si>
  <si>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</si>
  <si>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</si>
  <si>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</si>
  <si>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</si>
  <si>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</si>
  <si>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</si>
  <si>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</si>
  <si>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</si>
  <si>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</si>
  <si>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</si>
  <si>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</si>
  <si>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</si>
  <si>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</si>
  <si>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</si>
  <si>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</si>
  <si>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</si>
  <si>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</si>
  <si>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</si>
  <si>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</si>
  <si>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</si>
  <si>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</si>
  <si>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</si>
  <si>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</si>
  <si>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</si>
  <si>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</si>
  <si>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</si>
  <si>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</si>
  <si>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</si>
  <si>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</si>
  <si>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</si>
  <si>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</si>
  <si>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</si>
  <si>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</si>
  <si>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</si>
  <si>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</si>
  <si>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</si>
  <si>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</si>
  <si>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</si>
  <si>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</si>
  <si>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</si>
  <si>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</si>
  <si>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</si>
  <si>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</si>
  <si>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</si>
  <si>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</si>
  <si>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</si>
  <si>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</si>
  <si>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</si>
  <si>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</si>
  <si>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</si>
  <si>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</si>
  <si>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</si>
  <si>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</si>
  <si>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</si>
  <si>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</si>
  <si>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</si>
  <si>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</si>
  <si>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</si>
  <si>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</si>
  <si>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</si>
  <si>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</si>
  <si>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</si>
  <si>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</si>
  <si>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</si>
  <si>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</si>
  <si>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</si>
  <si>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</si>
  <si>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</si>
  <si>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</si>
  <si>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</si>
  <si>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</si>
  <si>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</si>
  <si>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</si>
  <si>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</si>
  <si>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</si>
  <si>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</si>
  <si>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</si>
  <si>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</si>
  <si>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</si>
  <si>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</si>
  <si>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</si>
  <si>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</si>
  <si>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</si>
  <si>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</si>
  <si>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</si>
  <si>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</si>
  <si>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</si>
  <si>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</si>
  <si>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</si>
  <si>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</si>
  <si>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</si>
  <si>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</si>
  <si>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</si>
  <si>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</si>
  <si>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</si>
  <si>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</si>
  <si>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</si>
  <si>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</si>
  <si>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</si>
  <si>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</si>
  <si>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</si>
  <si>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</si>
  <si>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</si>
  <si>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</si>
  <si>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</si>
  <si>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</si>
  <si>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</si>
  <si>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</si>
  <si>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</si>
  <si>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</si>
  <si>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</si>
  <si>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</si>
  <si>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</si>
  <si>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</si>
  <si>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</si>
  <si>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</si>
  <si>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</si>
  <si>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</si>
  <si>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</si>
  <si>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</si>
  <si>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</si>
  <si>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</si>
  <si>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</si>
  <si>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</si>
  <si>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</si>
  <si>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</si>
  <si>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</si>
  <si>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</si>
  <si>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</si>
  <si>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</si>
  <si>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</si>
  <si>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</si>
  <si>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</si>
  <si>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</si>
  <si>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</si>
  <si>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</si>
  <si>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</si>
  <si>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</si>
  <si>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</si>
  <si>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</si>
  <si>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</si>
  <si>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</si>
  <si>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</si>
  <si>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</si>
  <si>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</si>
  <si>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</si>
  <si>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</si>
  <si>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</si>
  <si>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</si>
  <si>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</si>
  <si>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</si>
  <si>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</si>
  <si>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</si>
  <si>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</si>
  <si>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</si>
  <si>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</si>
  <si>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</si>
  <si>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</si>
  <si>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</si>
  <si>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</si>
  <si>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</si>
  <si>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</si>
  <si>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</si>
  <si>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</si>
  <si>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</si>
  <si>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</si>
  <si>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</si>
  <si>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</si>
  <si>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</si>
  <si>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</si>
  <si>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</si>
  <si>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</si>
  <si>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</si>
  <si>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</si>
  <si>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</si>
  <si>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</si>
  <si>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</si>
  <si>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</si>
  <si>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</si>
  <si>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</si>
  <si>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</si>
  <si>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</si>
  <si>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</si>
  <si>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</si>
  <si>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</si>
  <si>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</si>
  <si>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</si>
  <si>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</si>
  <si>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</si>
  <si>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</si>
  <si>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</si>
  <si>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</si>
  <si>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</si>
  <si>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</si>
  <si>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</si>
  <si>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</si>
  <si>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</si>
  <si>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</si>
  <si>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</si>
  <si>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</si>
  <si>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</si>
  <si>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</si>
  <si>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</si>
  <si>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</si>
  <si>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</si>
  <si>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</si>
  <si>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</si>
  <si>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</si>
  <si>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</si>
  <si>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</si>
  <si>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</si>
  <si>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</si>
  <si>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</si>
  <si>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</si>
  <si>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</si>
  <si>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</si>
  <si>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</si>
  <si>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</si>
  <si>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</si>
  <si>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</si>
  <si>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</si>
  <si>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</si>
  <si>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</si>
  <si>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</si>
  <si>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</si>
  <si>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</si>
  <si>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</si>
  <si>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</si>
  <si>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</si>
  <si>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</si>
  <si>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</si>
  <si>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</si>
  <si>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</si>
  <si>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</si>
  <si>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</si>
  <si>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</si>
  <si>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</si>
  <si>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</si>
  <si>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</si>
  <si>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</si>
  <si>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</si>
  <si>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</si>
  <si>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</si>
  <si>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</si>
  <si>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</si>
  <si>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</si>
  <si>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</si>
  <si>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</si>
  <si>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</si>
  <si>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</si>
  <si>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</si>
  <si>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</si>
  <si>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</si>
  <si>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</si>
  <si>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</si>
  <si>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</si>
  <si>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</si>
  <si>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</si>
  <si>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</si>
  <si>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</si>
  <si>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</si>
  <si>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</si>
  <si>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</si>
  <si>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</si>
  <si>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</si>
  <si>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</si>
  <si>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</si>
  <si>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</si>
  <si>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</si>
  <si>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</si>
  <si>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</si>
  <si>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</si>
  <si>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</si>
  <si>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</si>
  <si>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</si>
  <si>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</si>
  <si>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</si>
  <si>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</si>
  <si>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</si>
  <si>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</si>
  <si>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</si>
  <si>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</si>
  <si>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</si>
  <si>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</si>
  <si>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</si>
  <si>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</si>
  <si>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</si>
  <si>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</si>
  <si>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</si>
  <si>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</si>
  <si>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</si>
  <si>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</si>
  <si>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</si>
  <si>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</si>
  <si>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</si>
  <si>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</si>
  <si>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</si>
  <si>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</si>
  <si>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</si>
  <si>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</si>
  <si>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</si>
  <si>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</si>
  <si>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</si>
  <si>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</si>
  <si>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</si>
  <si>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</si>
  <si>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</si>
  <si>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</si>
  <si>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</si>
  <si>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</si>
  <si>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</si>
  <si>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</si>
  <si>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</si>
  <si>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</si>
  <si>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</si>
  <si>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</si>
  <si>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</si>
  <si>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</si>
  <si>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</si>
  <si>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</si>
  <si>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</si>
  <si>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</si>
  <si>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</si>
  <si>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</si>
  <si>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</si>
  <si>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</si>
  <si>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</si>
  <si>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</si>
  <si>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</si>
  <si>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</si>
  <si>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</si>
  <si>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</si>
  <si>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</si>
  <si>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</si>
  <si>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</si>
  <si>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</si>
  <si>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</si>
  <si>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</si>
  <si>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</si>
  <si>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</si>
  <si>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</si>
  <si>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</si>
  <si>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</si>
  <si>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</si>
  <si>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</si>
  <si>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</si>
  <si>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</si>
  <si>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</si>
  <si>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</si>
  <si>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</si>
  <si>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</si>
  <si>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</si>
  <si>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</si>
  <si>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</si>
  <si>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</si>
  <si>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</si>
  <si>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</si>
  <si>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</si>
  <si>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</si>
  <si>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</si>
  <si>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</si>
  <si>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</si>
  <si>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</si>
  <si>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</si>
  <si>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</si>
  <si>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</si>
  <si>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</si>
  <si>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</si>
  <si>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</si>
  <si>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</si>
  <si>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</si>
  <si>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</si>
  <si>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</si>
  <si>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</si>
  <si>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</si>
  <si>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</si>
  <si>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</si>
  <si>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</si>
  <si>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</si>
  <si>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</si>
  <si>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</si>
  <si>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</si>
  <si>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</si>
  <si>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</si>
  <si>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</si>
  <si>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</si>
  <si>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</si>
  <si>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</si>
  <si>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</si>
  <si>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</si>
  <si>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</si>
  <si>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</si>
  <si>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</si>
  <si>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</si>
  <si>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</si>
  <si>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</si>
  <si>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</si>
  <si>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</si>
  <si>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</si>
  <si>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</si>
  <si>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</si>
  <si>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</si>
  <si>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</si>
  <si>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</si>
  <si>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</si>
  <si>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</si>
  <si>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</si>
  <si>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</si>
  <si>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</si>
  <si>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</si>
  <si>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</si>
  <si>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</si>
  <si>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</si>
  <si>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</si>
  <si>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</si>
  <si>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</si>
  <si>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</si>
  <si>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</si>
  <si>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</si>
  <si>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</si>
  <si>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</si>
  <si>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</si>
  <si>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</si>
  <si>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</si>
  <si>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</si>
  <si>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</si>
  <si>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</si>
  <si>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</si>
  <si>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</si>
  <si>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</si>
  <si>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</si>
  <si>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</si>
  <si>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</si>
  <si>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</si>
  <si>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</si>
  <si>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</si>
  <si>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</si>
  <si>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</si>
  <si>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</si>
  <si>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</si>
  <si>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</si>
  <si>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</si>
  <si>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</si>
  <si>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</si>
  <si>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</si>
  <si>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</si>
  <si>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</si>
  <si>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</si>
  <si>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</si>
  <si>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</si>
  <si>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</si>
  <si>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</si>
  <si>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</si>
  <si>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</si>
  <si>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</si>
  <si>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</si>
  <si>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</si>
  <si>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</si>
  <si>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</si>
  <si>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</si>
  <si>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</si>
  <si>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</si>
  <si>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</si>
  <si>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</si>
  <si>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</si>
  <si>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</si>
  <si>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</si>
  <si>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</si>
  <si>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</si>
  <si>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</si>
  <si>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</si>
  <si>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</si>
  <si>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</si>
  <si>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</si>
  <si>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</si>
  <si>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</si>
  <si>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</si>
  <si>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</si>
  <si>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</si>
  <si>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</si>
  <si>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</si>
  <si>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</si>
  <si>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</si>
  <si>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</si>
  <si>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</si>
  <si>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</si>
  <si>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</si>
  <si>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</si>
  <si>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</si>
  <si>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</si>
  <si>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</si>
  <si>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</si>
  <si>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</si>
  <si>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</si>
  <si>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</si>
  <si>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</si>
  <si>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</si>
  <si>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</si>
  <si>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</si>
  <si>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</si>
  <si>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</si>
  <si>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</si>
  <si>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</si>
  <si>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</si>
  <si>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</si>
  <si>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</si>
  <si>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</si>
  <si>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</si>
  <si>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</si>
  <si>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</si>
  <si>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</si>
  <si>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</si>
  <si>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</si>
  <si>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</si>
  <si>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</si>
  <si>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</si>
  <si>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</si>
  <si>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</si>
  <si>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</si>
  <si>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</si>
  <si>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</si>
  <si>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</si>
  <si>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</si>
  <si>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</si>
  <si>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</si>
  <si>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</si>
  <si>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</si>
  <si>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</si>
  <si>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</si>
  <si>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</si>
  <si>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</si>
  <si>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</si>
  <si>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</si>
  <si>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</si>
  <si>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</si>
  <si>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</si>
  <si>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</si>
  <si>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</si>
  <si>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</si>
  <si>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</si>
  <si>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</si>
  <si>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</si>
  <si>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</si>
  <si>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</si>
  <si>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</si>
  <si>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</si>
  <si>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</si>
  <si>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</si>
  <si>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</si>
  <si>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</si>
  <si>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</si>
  <si>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</si>
  <si>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</si>
  <si>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</si>
  <si>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</si>
  <si>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</si>
  <si>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</si>
  <si>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</si>
  <si>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</si>
  <si>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</si>
  <si>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</si>
  <si>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</si>
  <si>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</si>
  <si>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</si>
  <si>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</si>
  <si>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</si>
  <si>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</si>
  <si>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</si>
  <si>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</si>
  <si>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</si>
  <si>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</si>
  <si>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</si>
  <si>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</si>
  <si>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</si>
  <si>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</si>
  <si>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</si>
  <si>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</si>
  <si>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</si>
  <si>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</si>
  <si>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</si>
  <si>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</si>
  <si>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</si>
  <si>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</si>
  <si>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</si>
  <si>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</si>
  <si>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</si>
  <si>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</si>
  <si>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</si>
  <si>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</si>
  <si>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</si>
  <si>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</si>
  <si>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</si>
  <si>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</si>
  <si>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</si>
  <si>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</si>
  <si>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</si>
  <si>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</si>
  <si>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</si>
  <si>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</si>
  <si>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</si>
  <si>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</si>
  <si>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</si>
  <si>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</si>
  <si>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</si>
  <si>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</si>
  <si>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</si>
  <si>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</si>
  <si>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</si>
  <si>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</si>
  <si>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</si>
  <si>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</si>
  <si>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</si>
  <si>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</si>
  <si>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</si>
  <si>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</si>
  <si>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</si>
  <si>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</si>
  <si>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</si>
  <si>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</si>
  <si>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</si>
  <si>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</si>
  <si>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</si>
  <si>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</si>
  <si>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</si>
  <si>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</si>
  <si>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</si>
  <si>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</si>
  <si>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</si>
  <si>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</si>
  <si>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</si>
  <si>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</si>
  <si>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</si>
  <si>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</si>
  <si>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</si>
  <si>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</si>
  <si>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</si>
  <si>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</si>
  <si>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</si>
  <si>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</si>
  <si>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</si>
  <si>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</si>
  <si>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</si>
  <si>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</si>
  <si>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</si>
  <si>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</si>
  <si>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</si>
  <si>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</si>
  <si>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</si>
  <si>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</si>
  <si>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</si>
  <si>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</si>
  <si>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</si>
  <si>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</si>
  <si>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</si>
  <si>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</si>
  <si>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</si>
  <si>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</si>
  <si>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</si>
  <si>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</si>
  <si>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</si>
  <si>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</si>
  <si>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</si>
  <si>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</si>
  <si>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</si>
  <si>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</si>
  <si>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</si>
  <si>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</si>
  <si>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</si>
  <si>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</si>
  <si>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</si>
  <si>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</si>
  <si>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</si>
  <si>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</si>
  <si>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</si>
  <si>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</si>
  <si>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</si>
  <si>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</si>
  <si>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</si>
  <si>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</si>
  <si>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</si>
  <si>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</si>
  <si>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</si>
  <si>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</si>
  <si>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</si>
  <si>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</si>
  <si>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</si>
  <si>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</si>
  <si>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</si>
  <si>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</si>
  <si>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</si>
  <si>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</si>
  <si>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</si>
  <si>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</si>
  <si>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</si>
  <si>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</si>
  <si>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</si>
  <si>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</si>
  <si>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</si>
  <si>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</si>
  <si>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</si>
  <si>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</si>
  <si>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</si>
  <si>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</si>
  <si>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</si>
  <si>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</si>
  <si>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</si>
  <si>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</si>
  <si>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</si>
  <si>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</si>
  <si>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</si>
  <si>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</si>
  <si>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</si>
  <si>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</si>
  <si>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</si>
  <si>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</si>
  <si>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</si>
  <si>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</si>
  <si>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</si>
  <si>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</si>
  <si>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</si>
  <si>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</si>
  <si>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</si>
  <si>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</si>
  <si>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</si>
  <si>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</si>
  <si>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</si>
  <si>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</si>
  <si>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</si>
  <si>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</si>
  <si>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</si>
  <si>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</si>
  <si>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</si>
  <si>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</si>
  <si>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</si>
  <si>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</si>
  <si>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</si>
  <si>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</si>
  <si>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</si>
  <si>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</si>
  <si>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</si>
  <si>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</si>
  <si>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</si>
  <si>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</si>
  <si>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</si>
  <si>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</si>
  <si>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</si>
  <si>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</si>
  <si>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</si>
  <si>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</si>
  <si>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</si>
  <si>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</si>
  <si>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</si>
  <si>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</si>
  <si>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</si>
  <si>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</si>
  <si>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</si>
  <si>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</si>
  <si>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</si>
  <si>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</si>
  <si>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</si>
  <si>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</si>
  <si>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</si>
  <si>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</si>
  <si>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</si>
  <si>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</si>
  <si>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</si>
  <si>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</si>
  <si>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</si>
  <si>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</si>
  <si>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</si>
  <si>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</si>
  <si>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</si>
  <si>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</si>
  <si>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</si>
  <si>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</si>
  <si>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</si>
  <si>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</si>
  <si>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</si>
  <si>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</si>
  <si>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</si>
  <si>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</si>
  <si>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</si>
  <si>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</si>
  <si>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</si>
  <si>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</si>
  <si>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</si>
  <si>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</si>
  <si>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</si>
  <si>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</si>
  <si>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</si>
  <si>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</si>
  <si>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</si>
  <si>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</si>
  <si>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</si>
  <si>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</si>
  <si>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</si>
  <si>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</si>
  <si>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</si>
  <si>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</si>
  <si>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</si>
  <si>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</si>
  <si>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</si>
  <si>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</si>
  <si>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</si>
  <si>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</si>
  <si>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</si>
  <si>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</si>
  <si>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</si>
  <si>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</si>
  <si>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</si>
  <si>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</si>
  <si>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</si>
  <si>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</si>
  <si>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</si>
  <si>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</si>
  <si>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</si>
  <si>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</si>
  <si>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</si>
  <si>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</si>
  <si>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</si>
  <si>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</si>
  <si>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</si>
  <si>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</si>
  <si>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</si>
  <si>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</si>
  <si>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</si>
  <si>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</si>
  <si>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</si>
  <si>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</si>
  <si>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</si>
  <si>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</si>
  <si>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</si>
  <si>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</si>
  <si>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</si>
  <si>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</si>
  <si>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</si>
  <si>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</si>
  <si>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</si>
  <si>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</si>
  <si>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</si>
  <si>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</si>
  <si>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</si>
  <si>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</si>
  <si>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</si>
  <si>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</si>
  <si>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</si>
  <si>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</si>
  <si>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</si>
  <si>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</si>
  <si>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</si>
  <si>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</si>
  <si>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</si>
  <si>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</si>
  <si>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</si>
  <si>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</si>
  <si>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</si>
  <si>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</si>
  <si>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</si>
  <si>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</si>
  <si>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</si>
  <si>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</si>
  <si>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</si>
  <si>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</si>
  <si>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</si>
  <si>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</si>
  <si>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</si>
  <si>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</si>
  <si>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</si>
  <si>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</si>
  <si>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</si>
  <si>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</si>
  <si>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</si>
  <si>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</si>
  <si>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</si>
  <si>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</si>
  <si>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</si>
  <si>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</si>
  <si>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</si>
  <si>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</si>
  <si>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</si>
  <si>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</si>
  <si>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</si>
  <si>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</si>
  <si>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</si>
  <si>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</si>
  <si>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</si>
  <si>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</si>
  <si>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</si>
  <si>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</si>
  <si>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</si>
  <si>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</si>
  <si>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</si>
  <si>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</si>
  <si>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</si>
  <si>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</si>
  <si>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</si>
  <si>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</si>
  <si>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</si>
  <si>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</si>
  <si>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</si>
  <si>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</si>
  <si>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</si>
  <si>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</si>
  <si>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</si>
  <si>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</si>
  <si>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</si>
  <si>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</si>
  <si>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</si>
  <si>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</si>
  <si>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</si>
  <si>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</si>
  <si>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</si>
  <si>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</si>
  <si>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</si>
  <si>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</si>
  <si>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</si>
  <si>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</si>
  <si>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</si>
  <si>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</si>
  <si>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</si>
  <si>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</si>
  <si>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</si>
  <si>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</si>
  <si>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</si>
  <si>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</si>
  <si>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</si>
  <si>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</si>
  <si>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</si>
  <si>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</si>
  <si>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</si>
  <si>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</si>
  <si>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</si>
  <si>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</si>
  <si>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</si>
  <si>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</si>
  <si>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</si>
  <si>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</si>
  <si>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</si>
  <si>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</si>
  <si>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</si>
  <si>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</si>
  <si>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</si>
  <si>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</si>
  <si>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</si>
  <si>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</si>
  <si>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</si>
  <si>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</si>
  <si>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</si>
  <si>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</si>
  <si>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</si>
  <si>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</si>
  <si>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</si>
  <si>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</si>
  <si>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</si>
  <si>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</si>
  <si>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</si>
  <si>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</si>
  <si>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</si>
  <si>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</si>
  <si>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</si>
  <si>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</si>
  <si>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</si>
  <si>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</si>
  <si>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</si>
  <si>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</si>
  <si>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</si>
  <si>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</si>
  <si>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</si>
  <si>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</si>
  <si>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</si>
  <si>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</si>
  <si>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</si>
  <si>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</si>
  <si>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</si>
  <si>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</si>
  <si>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</si>
  <si>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</si>
  <si>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</si>
  <si>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</si>
  <si>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</si>
  <si>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</si>
  <si>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</si>
  <si>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</si>
  <si>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</si>
  <si>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</si>
  <si>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</si>
  <si>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</si>
  <si>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</si>
  <si>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</si>
  <si>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</si>
  <si>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</si>
  <si>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</si>
  <si>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</si>
  <si>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</si>
  <si>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</si>
  <si>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</si>
  <si>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</si>
  <si>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</si>
  <si>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</si>
  <si>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</si>
  <si>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</si>
  <si>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</si>
  <si>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</si>
  <si>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</si>
  <si>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</si>
  <si>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</si>
  <si>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</si>
  <si>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</si>
  <si>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</si>
  <si>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</si>
  <si>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</si>
  <si>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</si>
  <si>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</si>
  <si>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</si>
  <si>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</si>
  <si>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</si>
  <si>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</si>
  <si>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</si>
  <si>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</si>
  <si>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</si>
  <si>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</si>
  <si>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</si>
  <si>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</si>
  <si>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</si>
  <si>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</si>
  <si>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</si>
  <si>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</si>
  <si>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</si>
  <si>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</si>
  <si>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</si>
  <si>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</si>
  <si>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</si>
  <si>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</si>
  <si>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</si>
  <si>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</si>
  <si>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</si>
  <si>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</si>
  <si>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</si>
  <si>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</si>
  <si>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</si>
  <si>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</si>
  <si>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</si>
  <si>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</si>
  <si>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</si>
  <si>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</si>
  <si>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</si>
  <si>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</si>
  <si>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</si>
  <si>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</si>
  <si>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</si>
  <si>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</si>
  <si>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</si>
  <si>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</si>
  <si>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</si>
  <si>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</si>
  <si>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</si>
  <si>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</si>
  <si>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</si>
  <si>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</si>
  <si>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</si>
  <si>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</si>
  <si>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</si>
  <si>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</si>
  <si>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</si>
  <si>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</si>
  <si>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</si>
  <si>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</si>
  <si>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</si>
  <si>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</si>
  <si>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</si>
  <si>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</si>
  <si>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</si>
  <si>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</si>
  <si>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</si>
  <si>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</si>
  <si>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</si>
  <si>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</si>
  <si>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</si>
  <si>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</si>
  <si>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</si>
  <si>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</si>
  <si>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</si>
  <si>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</si>
  <si>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</si>
  <si>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</si>
  <si>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</si>
  <si>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</si>
  <si>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</si>
  <si>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</si>
  <si>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</si>
  <si>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</si>
  <si>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</si>
  <si>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</si>
  <si>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</si>
  <si>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</si>
  <si>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</si>
  <si>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</si>
  <si>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</si>
  <si>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</si>
  <si>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</si>
  <si>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</si>
  <si>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</si>
  <si>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</si>
  <si>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</si>
  <si>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</si>
  <si>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</si>
  <si>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</si>
  <si>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</si>
  <si>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</si>
  <si>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</si>
  <si>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</si>
  <si>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</si>
  <si>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</si>
  <si>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</si>
  <si>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</si>
  <si>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</si>
  <si>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</si>
  <si>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</si>
  <si>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</si>
  <si>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</si>
  <si>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</si>
  <si>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</si>
  <si>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</si>
  <si>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</si>
  <si>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</si>
  <si>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</si>
  <si>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</si>
  <si>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</si>
  <si>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</si>
  <si>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</si>
  <si>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</si>
  <si>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</si>
  <si>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</si>
  <si>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</si>
  <si>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</si>
  <si>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</si>
  <si>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</si>
  <si>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</si>
  <si>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</si>
  <si>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</si>
  <si>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</si>
  <si>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</si>
  <si>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</si>
  <si>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</si>
  <si>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</si>
  <si>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</si>
  <si>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</si>
  <si>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</si>
  <si>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</si>
  <si>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</si>
  <si>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</si>
  <si>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</si>
  <si>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</si>
  <si>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</si>
  <si>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</si>
  <si>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</si>
  <si>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</si>
  <si>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</si>
  <si>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</si>
  <si>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</si>
  <si>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</si>
  <si>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</si>
  <si>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</si>
  <si>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</si>
  <si>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</si>
  <si>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</si>
  <si>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</si>
  <si>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</si>
  <si>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</si>
  <si>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</si>
  <si>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</si>
  <si>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</si>
  <si>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</si>
  <si>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</si>
  <si>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</si>
  <si>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</si>
  <si>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</si>
  <si>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</si>
  <si>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</si>
  <si>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</si>
  <si>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</si>
  <si>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</si>
  <si>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</si>
  <si>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</si>
  <si>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</si>
  <si>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</si>
  <si>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</si>
  <si>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</si>
  <si>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</si>
  <si>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</si>
  <si>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</si>
  <si>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</si>
  <si>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</si>
  <si>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</si>
  <si>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</si>
  <si>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</si>
  <si>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</si>
  <si>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</si>
  <si>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</si>
  <si>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</si>
  <si>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</si>
  <si>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</si>
  <si>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</si>
  <si>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</si>
  <si>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</si>
  <si>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</si>
  <si>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</si>
  <si>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</si>
  <si>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</si>
  <si>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</si>
  <si>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</si>
  <si>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</si>
  <si>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</si>
  <si>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</si>
  <si>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</si>
  <si>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</si>
  <si>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</si>
  <si>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</si>
  <si>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</si>
  <si>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</si>
  <si>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</si>
  <si>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</si>
  <si>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</si>
  <si>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</si>
  <si>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</si>
  <si>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</si>
  <si>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</si>
  <si>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</si>
  <si>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</si>
  <si>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</si>
  <si>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</si>
  <si>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</si>
  <si>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</si>
  <si>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</si>
  <si>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</si>
  <si>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</si>
  <si>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</si>
  <si>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</si>
  <si>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</si>
  <si>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</si>
  <si>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</si>
  <si>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</si>
  <si>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</si>
  <si>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</si>
  <si>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</si>
  <si>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</si>
  <si>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</si>
  <si>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</si>
  <si>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</si>
  <si>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</si>
  <si>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</si>
  <si>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</si>
  <si>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</si>
  <si>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</si>
  <si>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</si>
  <si>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</si>
  <si>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</si>
  <si>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</si>
  <si>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</si>
  <si>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</si>
  <si>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</si>
  <si>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</si>
  <si>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</si>
  <si>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</si>
  <si>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</si>
  <si>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</si>
  <si>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</si>
  <si>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</si>
  <si>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</si>
  <si>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</si>
  <si>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</si>
  <si>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</si>
  <si>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</si>
  <si>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</si>
  <si>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</si>
  <si>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</si>
  <si>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</si>
  <si>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</si>
  <si>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</si>
  <si>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</si>
  <si>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</si>
  <si>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</si>
  <si>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</si>
  <si>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</si>
  <si>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</si>
  <si>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</si>
  <si>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</si>
  <si>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</si>
  <si>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</si>
  <si>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</si>
  <si>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</si>
  <si>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</si>
  <si>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</si>
  <si>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</si>
  <si>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</si>
  <si>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</si>
  <si>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</si>
  <si>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</si>
  <si>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</si>
  <si>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</si>
  <si>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</si>
  <si>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</si>
  <si>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</si>
  <si>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</si>
  <si>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</si>
  <si>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</si>
  <si>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</si>
  <si>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</si>
  <si>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</si>
  <si>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</si>
  <si>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</si>
  <si>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</si>
  <si>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</si>
  <si>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</si>
  <si>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</si>
  <si>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</si>
  <si>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</si>
  <si>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</si>
  <si>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</si>
  <si>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</si>
  <si>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</si>
  <si>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</si>
  <si>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</si>
  <si>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</si>
  <si>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</si>
  <si>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</si>
  <si>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</si>
  <si>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</si>
  <si>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</si>
  <si>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</si>
  <si>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</si>
  <si>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</si>
  <si>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</si>
  <si>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</si>
  <si>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</si>
  <si>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</si>
  <si>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</si>
  <si>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</si>
  <si>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</si>
  <si>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</si>
  <si>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</si>
  <si>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</si>
  <si>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</si>
  <si>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</si>
  <si>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</si>
  <si>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</si>
  <si>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</si>
  <si>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</si>
  <si>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</si>
  <si>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</si>
  <si>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</si>
  <si>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</si>
  <si>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</si>
  <si>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</si>
  <si>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</si>
  <si>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</si>
  <si>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</si>
  <si>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</si>
  <si>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</si>
  <si>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</si>
  <si>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</si>
  <si>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</si>
  <si>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</si>
  <si>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</si>
  <si>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</si>
  <si>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</si>
  <si>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</si>
  <si>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</si>
  <si>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</si>
  <si>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</si>
  <si>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</si>
  <si>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</si>
  <si>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</si>
  <si>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</si>
  <si>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</si>
  <si>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</si>
  <si>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</si>
  <si>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</si>
  <si>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</si>
  <si>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</si>
  <si>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</si>
  <si>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</si>
  <si>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</si>
  <si>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</si>
  <si>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</si>
  <si>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</si>
  <si>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</si>
  <si>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</si>
  <si>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</si>
  <si>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</si>
  <si>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</si>
  <si>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</si>
  <si>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</si>
  <si>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</si>
  <si>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</si>
  <si>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</si>
  <si>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</si>
  <si>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</si>
  <si>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</si>
  <si>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</si>
  <si>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</si>
  <si>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</si>
  <si>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</si>
  <si>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</si>
  <si>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</si>
  <si>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</si>
  <si>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</si>
  <si>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</si>
  <si>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</si>
  <si>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</si>
  <si>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</si>
  <si>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</si>
  <si>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</si>
  <si>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</si>
  <si>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</si>
  <si>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</si>
  <si>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</si>
  <si>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</si>
  <si>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</si>
  <si>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</si>
  <si>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</si>
  <si>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</si>
  <si>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</si>
  <si>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</si>
  <si>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</si>
  <si>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</si>
  <si>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</si>
  <si>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</si>
  <si>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</si>
  <si>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</si>
  <si>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</si>
  <si>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</si>
  <si>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</si>
  <si>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</si>
  <si>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</si>
  <si>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</si>
  <si>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</si>
  <si>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</si>
  <si>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</si>
  <si>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</si>
  <si>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</si>
  <si>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</si>
  <si>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</si>
  <si>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</si>
  <si>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</si>
  <si>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</si>
  <si>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</si>
  <si>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</si>
  <si>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</si>
  <si>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</si>
  <si>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</si>
  <si>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</si>
  <si>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</si>
  <si>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</si>
  <si>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</si>
  <si>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</si>
  <si>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</si>
  <si>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</si>
  <si>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</si>
  <si>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</si>
  <si>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</si>
  <si>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</si>
  <si>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</si>
  <si>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</si>
  <si>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</si>
  <si>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</si>
  <si>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</si>
  <si>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</si>
  <si>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</si>
  <si>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</si>
  <si>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</si>
  <si>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</si>
  <si>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</si>
  <si>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</si>
  <si>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</si>
  <si>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</si>
  <si>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</si>
  <si>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</si>
  <si>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</si>
  <si>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</si>
  <si>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</si>
  <si>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</si>
  <si>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</si>
  <si>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</si>
  <si>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</si>
  <si>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</si>
  <si>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</si>
  <si>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</si>
  <si>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</si>
  <si>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</si>
  <si>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</si>
  <si>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</si>
  <si>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</si>
  <si>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</si>
  <si>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</si>
  <si>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</si>
  <si>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</si>
  <si>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</si>
  <si>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</si>
  <si>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</si>
  <si>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</si>
  <si>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</si>
  <si>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</si>
  <si>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</si>
  <si>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</si>
  <si>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</si>
  <si>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</si>
  <si>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</si>
  <si>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</si>
  <si>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</si>
  <si>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</si>
  <si>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</si>
  <si>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</si>
  <si>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</si>
  <si>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</si>
  <si>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</si>
  <si>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</si>
  <si>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</si>
  <si>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</si>
  <si>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</si>
  <si>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</si>
  <si>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</si>
  <si>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</si>
  <si>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</si>
  <si>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</si>
  <si>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</si>
  <si>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</si>
  <si>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</si>
  <si>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</si>
  <si>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</si>
  <si>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</si>
  <si>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</si>
  <si>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</si>
  <si>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</si>
  <si>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</si>
  <si>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</si>
  <si>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</si>
  <si>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</si>
  <si>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</si>
  <si>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</si>
  <si>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</si>
  <si>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</si>
  <si>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</si>
  <si>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</si>
  <si>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</si>
  <si>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</si>
  <si>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</si>
  <si>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</si>
  <si>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</si>
  <si>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</si>
  <si>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</si>
  <si>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</si>
  <si>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</si>
  <si>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</si>
  <si>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</si>
  <si>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</si>
  <si>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</si>
  <si>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</si>
  <si>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</si>
  <si>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</si>
  <si>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</si>
  <si>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</si>
  <si>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</si>
  <si>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</si>
  <si>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</si>
  <si>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</si>
  <si>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</si>
  <si>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</si>
  <si>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</si>
  <si>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</si>
  <si>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</si>
  <si>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</si>
  <si>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</si>
  <si>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</si>
  <si>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</si>
  <si>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</si>
  <si>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</si>
  <si>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</si>
  <si>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</si>
  <si>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</si>
  <si>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</si>
  <si>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</si>
  <si>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</si>
  <si>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</si>
  <si>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</si>
  <si>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</si>
  <si>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</si>
  <si>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</si>
  <si>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</si>
  <si>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</si>
  <si>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</si>
  <si>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</si>
  <si>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</si>
  <si>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</si>
  <si>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</si>
  <si>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</si>
  <si>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</si>
  <si>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</si>
  <si>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</si>
  <si>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</si>
  <si>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</si>
  <si>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</si>
  <si>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</si>
  <si>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</si>
  <si>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</si>
  <si>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</si>
  <si>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</si>
  <si>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</si>
  <si>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</si>
  <si>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</si>
  <si>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</si>
  <si>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</si>
  <si>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</si>
  <si>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</si>
  <si>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</si>
  <si>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</si>
  <si>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</si>
  <si>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</si>
  <si>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</si>
  <si>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</si>
  <si>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</si>
  <si>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</si>
  <si>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</si>
  <si>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</si>
  <si>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</si>
  <si>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</si>
  <si>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</si>
  <si>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</si>
  <si>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</si>
  <si>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</si>
  <si>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</si>
  <si>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</si>
  <si>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</si>
  <si>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</si>
  <si>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</si>
  <si>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</si>
  <si>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</si>
  <si>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</si>
  <si>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</si>
  <si>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</si>
  <si>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</si>
  <si>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</si>
  <si>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</si>
  <si>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</si>
  <si>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</si>
  <si>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</si>
  <si>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</si>
  <si>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</si>
  <si>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</si>
  <si>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</si>
  <si>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</si>
  <si>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</si>
  <si>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</si>
  <si>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</si>
  <si>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</si>
  <si>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</si>
  <si>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</si>
  <si>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</si>
  <si>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</si>
  <si>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</si>
  <si>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</si>
  <si>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</si>
  <si>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</si>
  <si>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</si>
  <si>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</si>
  <si>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</si>
  <si>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</si>
  <si>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</si>
  <si>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</si>
  <si>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</si>
  <si>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</si>
  <si>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</si>
  <si>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</si>
  <si>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</si>
  <si>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</si>
  <si>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</si>
  <si>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</si>
  <si>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</si>
  <si>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</si>
  <si>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</si>
  <si>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</si>
  <si>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</si>
  <si>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</si>
  <si>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</si>
  <si>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</si>
  <si>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</si>
  <si>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</si>
  <si>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</si>
  <si>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</si>
  <si>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</si>
  <si>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</si>
  <si>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</si>
  <si>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</si>
  <si>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</si>
  <si>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</si>
  <si>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</si>
  <si>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</si>
  <si>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</si>
  <si>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</si>
  <si>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</si>
  <si>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</si>
  <si>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</si>
  <si>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</si>
  <si>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</si>
  <si>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</si>
  <si>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</si>
  <si>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</si>
  <si>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</si>
  <si>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</si>
  <si>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</si>
  <si>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</si>
  <si>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</si>
  <si>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</si>
  <si>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</si>
  <si>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</si>
  <si>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</si>
  <si>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</si>
  <si>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</si>
  <si>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</si>
  <si>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</si>
  <si>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</si>
  <si>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</si>
  <si>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</si>
  <si>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</si>
  <si>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</si>
  <si>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</si>
  <si>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</si>
  <si>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</si>
  <si>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</si>
  <si>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</si>
  <si>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</si>
  <si>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</si>
  <si>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</si>
  <si>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</si>
  <si>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</si>
  <si>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</si>
  <si>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</si>
  <si>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</si>
  <si>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</si>
  <si>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</si>
  <si>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</si>
  <si>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</si>
  <si>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</si>
  <si>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</si>
  <si>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</si>
  <si>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</si>
  <si>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</si>
  <si>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</si>
  <si>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</si>
  <si>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</si>
  <si>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</si>
  <si>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</si>
  <si>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</si>
  <si>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</si>
  <si>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</si>
  <si>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</si>
  <si>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</si>
  <si>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</si>
  <si>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</si>
  <si>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</si>
  <si>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</si>
  <si>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</si>
  <si>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</si>
  <si>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</si>
  <si>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</si>
  <si>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</si>
  <si>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</si>
  <si>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</si>
  <si>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</si>
  <si>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</si>
  <si>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</si>
  <si>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</si>
  <si>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</si>
  <si>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</si>
  <si>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</si>
  <si>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</si>
  <si>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</si>
  <si>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</si>
  <si>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</si>
  <si>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</si>
  <si>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</si>
  <si>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</si>
  <si>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</si>
  <si>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</si>
  <si>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</si>
  <si>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</si>
  <si>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</si>
  <si>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</si>
  <si>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</si>
  <si>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</si>
  <si>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</si>
  <si>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</si>
  <si>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</si>
  <si>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</si>
  <si>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</si>
  <si>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</si>
  <si>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</si>
  <si>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</si>
  <si>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</si>
  <si>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</si>
  <si>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</si>
  <si>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</si>
  <si>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</si>
  <si>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</si>
  <si>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</si>
  <si>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</si>
  <si>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</si>
  <si>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</si>
  <si>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</si>
  <si>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</si>
  <si>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</si>
  <si>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</si>
  <si>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</si>
  <si>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</si>
  <si>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</si>
  <si>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</si>
  <si>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</si>
  <si>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</si>
  <si>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</si>
  <si>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</si>
  <si>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</si>
  <si>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</si>
  <si>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</si>
  <si>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</si>
  <si>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</si>
  <si>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</si>
  <si>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</si>
  <si>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</si>
  <si>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</si>
  <si>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</si>
  <si>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</si>
  <si>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</si>
  <si>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</si>
  <si>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</si>
  <si>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</si>
  <si>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</si>
  <si>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</si>
  <si>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</si>
  <si>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</si>
  <si>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</si>
  <si>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</si>
  <si>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</si>
  <si>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</si>
  <si>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</si>
  <si>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</si>
  <si>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</si>
  <si>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</si>
  <si>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</si>
  <si>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</si>
  <si>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</si>
  <si>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</si>
  <si>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</si>
  <si>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</si>
  <si>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</si>
  <si>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</si>
  <si>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</si>
  <si>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</si>
  <si>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</si>
  <si>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</si>
  <si>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</si>
  <si>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</si>
  <si>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</si>
  <si>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</si>
  <si>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</si>
  <si>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</si>
  <si>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</si>
  <si>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</si>
  <si>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</si>
  <si>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</si>
  <si>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</si>
  <si>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</si>
  <si>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</si>
  <si>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</si>
  <si>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</si>
  <si>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</si>
  <si>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</si>
  <si>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</si>
  <si>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</si>
  <si>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</si>
  <si>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</si>
  <si>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</si>
  <si>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</si>
  <si>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</si>
  <si>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</si>
  <si>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</si>
  <si>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</si>
  <si>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</si>
  <si>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</si>
  <si>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</si>
  <si>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</si>
  <si>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</si>
  <si>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</si>
  <si>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</si>
  <si>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</si>
  <si>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</si>
  <si>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</si>
  <si>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</si>
  <si>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</si>
  <si>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</si>
  <si>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</si>
  <si>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</si>
  <si>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</si>
  <si>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</si>
  <si>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</si>
  <si>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</si>
  <si>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</si>
  <si>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</si>
  <si>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</si>
  <si>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</si>
  <si>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</si>
  <si>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</si>
  <si>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</si>
  <si>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</si>
  <si>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</si>
  <si>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</si>
  <si>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</si>
  <si>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</si>
  <si>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</si>
  <si>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</si>
  <si>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</si>
  <si>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</si>
  <si>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</si>
  <si>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</si>
  <si>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</si>
  <si>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</si>
  <si>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</si>
  <si>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</si>
  <si>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</si>
  <si>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</si>
  <si>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</si>
  <si>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</si>
  <si>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</si>
  <si>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</si>
  <si>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</si>
  <si>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</si>
  <si>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</si>
  <si>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</si>
  <si>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</si>
  <si>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</si>
  <si>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</si>
  <si>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</si>
  <si>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</si>
  <si>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</si>
  <si>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</si>
  <si>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</si>
  <si>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</si>
  <si>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</si>
  <si>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</si>
  <si>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</si>
  <si>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</si>
  <si>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</si>
  <si>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</si>
  <si>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</si>
  <si>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</si>
  <si>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</si>
  <si>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</si>
  <si>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</si>
  <si>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</si>
  <si>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</si>
  <si>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</si>
  <si>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</si>
  <si>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</si>
  <si>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</si>
  <si>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</si>
  <si>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</si>
  <si>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</si>
  <si>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</si>
  <si>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</si>
  <si>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</si>
  <si>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</si>
  <si>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</si>
  <si>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</si>
  <si>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</si>
  <si>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</si>
  <si>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</si>
  <si>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</si>
  <si>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</si>
  <si>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</si>
  <si>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</si>
  <si>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</si>
  <si>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</si>
  <si>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</si>
  <si>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</si>
  <si>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</si>
  <si>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</si>
  <si>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</si>
  <si>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</si>
  <si>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</si>
  <si>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</si>
  <si>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</si>
  <si>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</si>
  <si>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</si>
  <si>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</si>
  <si>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</si>
  <si>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</si>
  <si>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</si>
  <si>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</si>
  <si>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</si>
  <si>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</si>
  <si>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</si>
  <si>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</si>
  <si>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</si>
  <si>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</si>
  <si>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</si>
  <si>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</si>
  <si>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</si>
  <si>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</si>
  <si>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</si>
  <si>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</si>
  <si>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</si>
  <si>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</si>
  <si>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</si>
  <si>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</si>
  <si>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</si>
  <si>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</si>
  <si>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</si>
  <si>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</si>
  <si>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</si>
  <si>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</si>
  <si>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</si>
  <si>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</si>
  <si>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</si>
  <si>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</si>
  <si>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</si>
  <si>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</si>
  <si>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</si>
  <si>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</si>
  <si>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</si>
  <si>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</si>
  <si>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</si>
  <si>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</si>
  <si>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</si>
  <si>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</si>
  <si>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</si>
  <si>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</si>
  <si>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</si>
  <si>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</si>
  <si>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</si>
  <si>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</si>
  <si>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</si>
  <si>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</si>
  <si>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</si>
  <si>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</si>
  <si>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</si>
  <si>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</si>
  <si>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</si>
  <si>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</si>
  <si>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</si>
  <si>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</si>
  <si>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</si>
  <si>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</si>
  <si>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</si>
  <si>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</si>
  <si>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</si>
  <si>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</si>
  <si>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</si>
  <si>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</si>
  <si>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</si>
  <si>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</si>
  <si>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</si>
  <si>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</si>
  <si>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</si>
  <si>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</si>
  <si>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</si>
  <si>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</si>
  <si>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</si>
  <si>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</si>
  <si>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</si>
  <si>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</si>
  <si>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</si>
  <si>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</si>
  <si>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</si>
  <si>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</si>
  <si>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</si>
  <si>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</si>
  <si>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</si>
  <si>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</si>
  <si>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</si>
  <si>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</si>
  <si>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</si>
  <si>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</si>
  <si>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</si>
  <si>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</si>
  <si>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</si>
  <si>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</si>
  <si>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</si>
  <si>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</si>
  <si>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</si>
  <si>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</si>
  <si>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</si>
  <si>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</si>
  <si>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</si>
  <si>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</si>
  <si>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</si>
  <si>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</si>
  <si>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</si>
  <si>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</si>
  <si>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</si>
  <si>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</si>
  <si>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</si>
  <si>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</si>
  <si>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</si>
  <si>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</si>
  <si>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</si>
  <si>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</si>
  <si>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</si>
  <si>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</si>
  <si>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</si>
  <si>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</si>
  <si>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</si>
  <si>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</si>
  <si>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</si>
  <si>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</si>
  <si>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</si>
  <si>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</si>
  <si>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</si>
  <si>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</si>
  <si>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</si>
  <si>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</si>
  <si>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</si>
  <si>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</si>
  <si>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</si>
  <si>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</si>
  <si>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</si>
  <si>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</si>
  <si>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</si>
  <si>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</si>
  <si>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</si>
  <si>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</si>
  <si>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</si>
  <si>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</si>
  <si>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</si>
  <si>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</si>
  <si>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</si>
  <si>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</si>
  <si>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</si>
  <si>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</si>
  <si>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</si>
  <si>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</si>
  <si>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</si>
  <si>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</si>
  <si>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</si>
  <si>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</si>
  <si>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</si>
  <si>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</si>
  <si>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</si>
  <si>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</si>
  <si>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</si>
  <si>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</si>
  <si>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</si>
  <si>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</si>
  <si>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</si>
  <si>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</si>
  <si>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</si>
  <si>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</si>
  <si>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</si>
  <si>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</si>
  <si>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</si>
  <si>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</si>
  <si>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</si>
  <si>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</si>
  <si>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</si>
  <si>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</si>
  <si>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</si>
  <si>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</si>
  <si>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</si>
  <si>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</si>
  <si>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</si>
  <si>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</si>
  <si>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</si>
  <si>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</si>
  <si>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</si>
  <si>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</si>
  <si>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</si>
  <si>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</si>
  <si>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</si>
  <si>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</si>
  <si>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</si>
  <si>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</si>
  <si>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</si>
  <si>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</si>
  <si>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</si>
  <si>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</si>
  <si>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</si>
  <si>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</si>
  <si>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</si>
  <si>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</si>
  <si>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</si>
  <si>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</si>
  <si>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</si>
  <si>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</si>
  <si>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</si>
  <si>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</si>
  <si>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</si>
  <si>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</si>
  <si>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</si>
  <si>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</si>
  <si>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</si>
  <si>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</si>
  <si>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</si>
  <si>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</si>
  <si>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</si>
  <si>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</si>
  <si>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</si>
  <si>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</si>
  <si>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</si>
  <si>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</si>
  <si>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</si>
  <si>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</si>
  <si>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</si>
  <si>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</si>
  <si>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</si>
  <si>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</si>
  <si>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</si>
  <si>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</si>
  <si>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</si>
  <si>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</si>
  <si>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</si>
  <si>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</si>
  <si>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</si>
  <si>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</si>
  <si>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</si>
  <si>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</si>
  <si>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</si>
  <si>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</si>
  <si>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</si>
  <si>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</si>
  <si>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</si>
  <si>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</si>
  <si>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</si>
  <si>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</si>
  <si>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</si>
  <si>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</si>
  <si>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</si>
  <si>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</si>
  <si>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</si>
  <si>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</si>
  <si>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</si>
  <si>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</si>
  <si>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</si>
  <si>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</si>
  <si>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</si>
  <si>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</si>
  <si>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</si>
  <si>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</si>
  <si>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</si>
  <si>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</si>
  <si>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</si>
  <si>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</si>
  <si>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</si>
  <si>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</si>
  <si>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</si>
  <si>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</si>
  <si>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</si>
  <si>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</si>
  <si>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</si>
  <si>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</si>
  <si>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</si>
  <si>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</si>
  <si>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</si>
  <si>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</si>
  <si>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</si>
  <si>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</si>
  <si>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</si>
  <si>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</si>
  <si>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</si>
  <si>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</si>
  <si>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</si>
  <si>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</si>
  <si>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</si>
  <si>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</si>
  <si>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</si>
  <si>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</si>
  <si>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</si>
  <si>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</si>
  <si>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</si>
  <si>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</si>
  <si>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</si>
  <si>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</si>
  <si>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</si>
  <si>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</si>
  <si>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</si>
  <si>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</si>
  <si>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</si>
  <si>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</si>
  <si>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</si>
  <si>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</si>
  <si>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</si>
  <si>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</si>
  <si>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</si>
  <si>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</si>
  <si>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</si>
  <si>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</si>
  <si>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</si>
  <si>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</si>
  <si>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</si>
  <si>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</si>
  <si>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</si>
  <si>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</si>
  <si>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</si>
  <si>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</si>
  <si>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</si>
  <si>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</si>
  <si>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</si>
  <si>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</si>
  <si>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</si>
  <si>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</si>
  <si>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</si>
  <si>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</si>
  <si>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</si>
  <si>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</si>
  <si>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</si>
  <si>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</si>
  <si>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</si>
  <si>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</si>
  <si>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</si>
  <si>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</si>
  <si>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</si>
  <si>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</si>
  <si>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</si>
  <si>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</si>
  <si>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</si>
  <si>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</si>
  <si>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</si>
  <si>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</si>
  <si>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</si>
  <si>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</si>
  <si>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</si>
  <si>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</si>
  <si>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</si>
  <si>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</si>
  <si>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</si>
  <si>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</si>
  <si>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</si>
  <si>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</si>
  <si>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</si>
  <si>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</si>
  <si>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</si>
  <si>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</si>
  <si>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</si>
  <si>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</si>
  <si>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</si>
  <si>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</si>
  <si>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</si>
  <si>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</si>
  <si>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</si>
  <si>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</si>
  <si>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</si>
  <si>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</si>
  <si>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</si>
  <si>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</si>
  <si>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</si>
  <si>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</si>
  <si>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</si>
  <si>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</si>
  <si>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</si>
  <si>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</si>
  <si>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</si>
  <si>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</si>
  <si>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</si>
  <si>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</si>
  <si>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</si>
  <si>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</si>
  <si>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</si>
  <si>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</si>
  <si>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</si>
  <si>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</si>
  <si>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</si>
  <si>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</si>
  <si>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</si>
  <si>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</si>
  <si>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</si>
  <si>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</si>
  <si>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</si>
  <si>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</si>
  <si>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</si>
  <si>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</si>
  <si>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</si>
  <si>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</si>
  <si>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</si>
  <si>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</si>
  <si>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</si>
  <si>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</si>
  <si>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</si>
  <si>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</si>
  <si>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</si>
  <si>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</si>
  <si>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</si>
  <si>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</si>
  <si>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</si>
  <si>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</si>
  <si>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</si>
  <si>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</si>
  <si>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</si>
  <si>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</si>
  <si>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</si>
  <si>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</si>
  <si>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</si>
  <si>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</si>
  <si>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</si>
  <si>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</si>
  <si>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</si>
  <si>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</si>
  <si>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</si>
  <si>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</si>
  <si>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</si>
  <si>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</si>
  <si>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</si>
  <si>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</si>
  <si>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</si>
  <si>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</si>
  <si>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</si>
  <si>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</si>
  <si>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</si>
  <si>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</si>
  <si>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</si>
  <si>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</si>
  <si>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</si>
  <si>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</si>
  <si>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</si>
  <si>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</si>
  <si>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</si>
  <si>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</si>
  <si>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</si>
  <si>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</si>
  <si>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</si>
  <si>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</si>
  <si>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</si>
  <si>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</si>
  <si>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</si>
  <si>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</si>
  <si>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</si>
  <si>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</si>
  <si>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</si>
  <si>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</si>
  <si>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</si>
  <si>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</si>
  <si>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</si>
  <si>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</si>
  <si>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</si>
  <si>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</si>
  <si>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</si>
  <si>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</si>
  <si>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</si>
  <si>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</si>
  <si>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</si>
  <si>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</si>
  <si>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</si>
  <si>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</si>
  <si>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</si>
  <si>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</si>
  <si>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</si>
  <si>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</si>
  <si>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</si>
  <si>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</si>
  <si>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</si>
  <si>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</si>
  <si>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</si>
  <si>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</si>
  <si>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</si>
  <si>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</si>
  <si>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</si>
  <si>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</si>
  <si>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</si>
  <si>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</si>
  <si>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</si>
  <si>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</si>
  <si>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</si>
  <si>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</si>
  <si>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</si>
  <si>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</si>
  <si>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</si>
  <si>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</si>
  <si>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</si>
  <si>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</si>
  <si>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</si>
  <si>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</si>
  <si>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</si>
  <si>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</si>
  <si>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</si>
  <si>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</si>
  <si>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</si>
  <si>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</si>
  <si>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</si>
  <si>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</si>
  <si>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</si>
  <si>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</si>
  <si>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</si>
  <si>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</si>
  <si>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</si>
  <si>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</si>
  <si>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</si>
  <si>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</si>
  <si>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</si>
  <si>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</si>
  <si>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</si>
  <si>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</si>
  <si>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</si>
  <si>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</si>
  <si>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</si>
  <si>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</si>
  <si>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</si>
  <si>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</si>
  <si>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</si>
  <si>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</si>
  <si>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</si>
  <si>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</si>
  <si>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</si>
  <si>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</si>
  <si>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</si>
  <si>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</si>
  <si>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</si>
  <si>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</si>
  <si>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</si>
  <si>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</si>
  <si>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</si>
  <si>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</si>
  <si>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</si>
  <si>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</si>
  <si>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</si>
  <si>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</si>
  <si>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</si>
  <si>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</si>
  <si>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</si>
  <si>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</si>
  <si>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</si>
  <si>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</si>
  <si>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</si>
  <si>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</si>
  <si>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</si>
  <si>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</si>
  <si>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</si>
  <si>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</si>
  <si>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</si>
  <si>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</si>
  <si>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</si>
  <si>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</si>
  <si>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</si>
  <si>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</si>
  <si>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</si>
  <si>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</si>
  <si>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</si>
  <si>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</si>
  <si>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</si>
  <si>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</si>
  <si>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</si>
  <si>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</si>
  <si>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</si>
  <si>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</si>
  <si>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</si>
  <si>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</si>
  <si>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</si>
  <si>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</si>
  <si>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</si>
  <si>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</si>
  <si>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</si>
  <si>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</si>
  <si>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</si>
  <si>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</si>
  <si>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</si>
  <si>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</si>
  <si>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</si>
  <si>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</si>
  <si>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</si>
  <si>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</si>
  <si>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</si>
  <si>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</si>
  <si>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</si>
  <si>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</si>
  <si>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</si>
  <si>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</si>
  <si>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</si>
  <si>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</si>
  <si>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</si>
  <si>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</si>
  <si>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</si>
  <si>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</si>
  <si>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</si>
  <si>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</si>
  <si>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</si>
  <si>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</si>
  <si>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</si>
  <si>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</si>
  <si>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</si>
  <si>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</si>
  <si>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</si>
  <si>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</si>
  <si>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</si>
  <si>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</si>
  <si>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</si>
  <si>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</si>
  <si>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</si>
  <si>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</si>
  <si>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</si>
  <si>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</si>
  <si>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</si>
  <si>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</si>
  <si>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</si>
  <si>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</si>
  <si>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</si>
  <si>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</si>
  <si>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</si>
  <si>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</si>
  <si>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</si>
  <si>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</si>
  <si>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</si>
  <si>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</si>
  <si>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</si>
  <si>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</si>
  <si>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</si>
  <si>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</si>
  <si>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</si>
  <si>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</si>
  <si>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</si>
  <si>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</si>
  <si>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</si>
  <si>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</si>
  <si>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</si>
  <si>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</si>
  <si>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</si>
  <si>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</si>
  <si>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</si>
  <si>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</si>
  <si>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</si>
  <si>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</si>
  <si>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</si>
  <si>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</si>
  <si>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</si>
  <si>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</si>
  <si>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</si>
  <si>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</si>
  <si>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</si>
  <si>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</si>
  <si>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</si>
  <si>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</si>
  <si>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</si>
  <si>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</si>
  <si>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</si>
  <si>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</si>
  <si>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</si>
  <si>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</si>
  <si>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</si>
  <si>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</si>
  <si>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</si>
  <si>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</si>
  <si>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</si>
  <si>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</si>
  <si>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</si>
  <si>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</si>
  <si>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</si>
  <si>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</si>
  <si>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</si>
  <si>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</si>
  <si>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</si>
  <si>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</si>
  <si>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</si>
  <si>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</si>
  <si>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</si>
  <si>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</si>
  <si>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</si>
  <si>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</si>
  <si>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</si>
  <si>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</si>
  <si>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</si>
  <si>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</si>
  <si>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</si>
  <si>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</si>
  <si>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</si>
  <si>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</si>
  <si>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</si>
  <si>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</si>
  <si>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</si>
  <si>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</si>
  <si>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</si>
  <si>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</si>
  <si>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</si>
  <si>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</si>
  <si>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</si>
  <si>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</si>
  <si>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</si>
  <si>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</si>
  <si>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</si>
  <si>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</si>
  <si>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</si>
  <si>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</si>
  <si>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</si>
  <si>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</si>
  <si>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</si>
  <si>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</si>
  <si>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</si>
  <si>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</si>
  <si>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</si>
  <si>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</si>
  <si>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</si>
  <si>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</si>
  <si>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</si>
  <si>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</si>
  <si>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</si>
  <si>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</si>
  <si>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</si>
  <si>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</si>
  <si>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</si>
  <si>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</si>
  <si>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</si>
  <si>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</si>
  <si>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</si>
  <si>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</si>
  <si>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</si>
  <si>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</si>
  <si>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</si>
  <si>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</si>
  <si>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</si>
  <si>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</si>
  <si>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</si>
  <si>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</si>
  <si>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</si>
  <si>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</si>
  <si>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</si>
  <si>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</si>
  <si>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</si>
  <si>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</si>
  <si>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</si>
  <si>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</si>
  <si>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</si>
  <si>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</si>
  <si>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</si>
  <si>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</si>
  <si>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</si>
  <si>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</si>
  <si>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</si>
  <si>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</si>
  <si>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</si>
  <si>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</si>
  <si>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</si>
  <si>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</si>
  <si>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</si>
  <si>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</si>
  <si>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</si>
  <si>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</si>
  <si>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</si>
  <si>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</si>
  <si>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</si>
  <si>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</si>
  <si>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</si>
  <si>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</si>
  <si>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</si>
  <si>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</si>
  <si>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</si>
  <si>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</si>
  <si>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</si>
  <si>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</si>
  <si>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</si>
  <si>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</si>
  <si>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</si>
  <si>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</si>
  <si>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</si>
  <si>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</si>
  <si>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</si>
  <si>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</si>
  <si>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</si>
  <si>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</si>
  <si>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</si>
  <si>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</si>
  <si>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</si>
  <si>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</si>
  <si>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</si>
  <si>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</si>
  <si>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</si>
  <si>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</si>
  <si>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</si>
  <si>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</si>
  <si>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</si>
  <si>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</si>
  <si>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</si>
  <si>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</si>
  <si>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</si>
  <si>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</si>
  <si>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</si>
  <si>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</si>
  <si>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</si>
  <si>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</si>
  <si>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</si>
  <si>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</si>
  <si>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</si>
  <si>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</si>
  <si>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</si>
  <si>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</si>
  <si>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</si>
  <si>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</si>
  <si>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</si>
  <si>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</si>
  <si>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</si>
  <si>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</si>
  <si>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</si>
  <si>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</si>
  <si>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</si>
  <si>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</si>
  <si>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</si>
  <si>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</si>
  <si>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</si>
  <si>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</si>
  <si>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</si>
  <si>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</si>
  <si>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</si>
  <si>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</si>
  <si>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</si>
  <si>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</si>
  <si>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</si>
  <si>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</si>
  <si>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</si>
  <si>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</si>
  <si>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</si>
  <si>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</si>
  <si>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</si>
  <si>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</si>
  <si>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</si>
  <si>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</si>
  <si>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</si>
  <si>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</si>
  <si>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</si>
  <si>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</si>
  <si>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</si>
  <si>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</si>
  <si>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</si>
  <si>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</si>
  <si>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</si>
  <si>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</si>
  <si>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</si>
  <si>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</si>
  <si>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</si>
  <si>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</si>
  <si>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</si>
  <si>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</si>
  <si>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</si>
  <si>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</si>
  <si>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</si>
  <si>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</si>
  <si>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</si>
  <si>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</si>
  <si>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</si>
  <si>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</si>
  <si>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</si>
  <si>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</si>
  <si>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</si>
  <si>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</si>
  <si>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</si>
  <si>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</si>
  <si>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</si>
  <si>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</si>
  <si>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</si>
  <si>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</si>
  <si>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</si>
  <si>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</si>
  <si>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</si>
  <si>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</si>
  <si>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</si>
  <si>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</si>
  <si>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</si>
  <si>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</si>
  <si>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</si>
  <si>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</si>
  <si>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</si>
  <si>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</si>
  <si>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</si>
  <si>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</si>
  <si>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</si>
  <si>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</si>
  <si>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</si>
  <si>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</si>
  <si>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</si>
  <si>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</si>
  <si>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</si>
  <si>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</si>
  <si>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</si>
  <si>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</si>
  <si>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</si>
  <si>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</si>
  <si>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</si>
  <si>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</si>
  <si>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</si>
  <si>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</si>
  <si>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</si>
  <si>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</si>
  <si>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</si>
  <si>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</si>
  <si>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</si>
  <si>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</si>
  <si>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</si>
  <si>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</si>
  <si>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</si>
  <si>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</si>
  <si>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</si>
  <si>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</si>
  <si>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</si>
  <si>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</si>
  <si>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</si>
  <si>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</si>
  <si>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</si>
  <si>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</si>
  <si>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</si>
  <si>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</si>
  <si>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</si>
  <si>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</si>
  <si>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</si>
  <si>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</si>
  <si>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</si>
  <si>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</si>
  <si>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</si>
  <si>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</si>
  <si>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</si>
  <si>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</si>
  <si>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</si>
  <si>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</si>
  <si>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</si>
  <si>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</si>
  <si>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</si>
  <si>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</si>
  <si>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</si>
  <si>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</si>
  <si>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</si>
  <si>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</si>
  <si>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</si>
  <si>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</si>
  <si>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</si>
  <si>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</si>
  <si>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</si>
  <si>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</si>
  <si>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</si>
  <si>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</si>
  <si>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</si>
  <si>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</si>
  <si>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</si>
  <si>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</si>
  <si>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</si>
  <si>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</si>
  <si>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</si>
  <si>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</si>
  <si>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</si>
  <si>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</si>
  <si>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</si>
  <si>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</si>
  <si>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</si>
  <si>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</si>
  <si>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</si>
  <si>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</si>
  <si>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</si>
  <si>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</si>
  <si>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</si>
  <si>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</si>
  <si>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</si>
  <si>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</si>
  <si>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</si>
  <si>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</si>
  <si>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</si>
  <si>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</si>
  <si>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</si>
  <si>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</si>
  <si>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</si>
  <si>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</si>
  <si>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</si>
  <si>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</si>
  <si>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</si>
  <si>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</si>
  <si>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</si>
  <si>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</si>
  <si>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</si>
  <si>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</si>
  <si>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</si>
  <si>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</si>
  <si>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</si>
  <si>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</si>
  <si>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</si>
  <si>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</si>
  <si>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</si>
  <si>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</si>
  <si>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</si>
  <si>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</si>
  <si>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</si>
  <si>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</si>
  <si>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</si>
  <si>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</si>
  <si>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</si>
  <si>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</si>
  <si>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</si>
  <si>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</si>
  <si>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</si>
  <si>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</si>
  <si>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</si>
  <si>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</si>
  <si>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</si>
  <si>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</si>
  <si>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</si>
  <si>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</si>
  <si>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</si>
  <si>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</si>
  <si>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</si>
  <si>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</si>
  <si>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</si>
  <si>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</si>
  <si>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</si>
  <si>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</si>
  <si>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</si>
  <si>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</si>
  <si>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</si>
  <si>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</si>
  <si>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</si>
  <si>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</si>
  <si>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</si>
  <si>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</si>
  <si>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</si>
  <si>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</si>
  <si>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</si>
  <si>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</si>
  <si>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</si>
  <si>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</si>
  <si>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</si>
  <si>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</si>
  <si>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</si>
  <si>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</si>
  <si>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</si>
  <si>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</si>
  <si>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</si>
  <si>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</si>
  <si>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</si>
  <si>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</si>
  <si>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</si>
  <si>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</si>
  <si>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</si>
  <si>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</si>
  <si>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</si>
  <si>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</si>
  <si>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</si>
  <si>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</si>
  <si>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</si>
  <si>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</si>
  <si>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</si>
  <si>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</si>
  <si>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</si>
  <si>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</si>
  <si>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</si>
  <si>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</si>
  <si>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</si>
  <si>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</si>
  <si>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</si>
  <si>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</si>
  <si>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</si>
  <si>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</si>
  <si>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</si>
  <si>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</si>
  <si>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</si>
  <si>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</si>
  <si>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</si>
  <si>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</si>
  <si>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</si>
  <si>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</si>
  <si>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</si>
  <si>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</si>
  <si>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</si>
  <si>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</si>
  <si>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</si>
  <si>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</si>
  <si>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</si>
  <si>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</si>
  <si>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</si>
  <si>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</si>
  <si>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</si>
  <si>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</si>
  <si>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</si>
  <si>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</si>
  <si>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</si>
  <si>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</si>
  <si>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</si>
  <si>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</si>
  <si>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</si>
  <si>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</si>
  <si>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</si>
  <si>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</si>
  <si>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</si>
  <si>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</si>
  <si>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</si>
  <si>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</si>
  <si>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</si>
  <si>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</si>
  <si>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</si>
  <si>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</si>
  <si>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</si>
  <si>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</si>
  <si>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</si>
  <si>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</si>
  <si>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</si>
  <si>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</si>
  <si>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</si>
  <si>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</si>
  <si>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</si>
  <si>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</si>
  <si>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</si>
  <si>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</si>
  <si>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</si>
  <si>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</si>
  <si>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</si>
  <si>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</si>
  <si>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</si>
  <si>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</si>
  <si>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</si>
  <si>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</si>
  <si>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</si>
  <si>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</si>
  <si>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</si>
  <si>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</si>
  <si>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</si>
  <si>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</si>
  <si>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</si>
  <si>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</si>
  <si>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</si>
  <si>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</si>
  <si>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</si>
  <si>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</si>
  <si>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</si>
  <si>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</si>
  <si>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</si>
  <si>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</si>
  <si>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</si>
  <si>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</si>
  <si>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</si>
  <si>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</si>
  <si>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</si>
  <si>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</si>
  <si>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</si>
  <si>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</si>
  <si>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</si>
  <si>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</si>
  <si>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</si>
  <si>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</si>
  <si>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</si>
  <si>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</si>
  <si>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</si>
  <si>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</si>
  <si>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</si>
  <si>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</si>
  <si>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</si>
  <si>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</si>
  <si>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</si>
  <si>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</si>
  <si>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</si>
  <si>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</si>
  <si>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</si>
  <si>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</si>
  <si>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</si>
  <si>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</si>
  <si>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</si>
  <si>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</si>
  <si>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</si>
  <si>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</si>
  <si>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</si>
  <si>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</si>
  <si>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</si>
  <si>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</si>
  <si>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</si>
  <si>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</si>
  <si>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</si>
  <si>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</si>
  <si>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</si>
  <si>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</si>
  <si>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</si>
  <si>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</si>
  <si>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</si>
  <si>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</si>
  <si>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</si>
  <si>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</si>
  <si>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</si>
  <si>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</si>
  <si>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</si>
  <si>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</si>
  <si>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</si>
  <si>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</si>
  <si>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</si>
  <si>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</si>
  <si>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</si>
  <si>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</si>
  <si>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</si>
  <si>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</si>
  <si>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</si>
  <si>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</si>
  <si>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</si>
  <si>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</si>
  <si>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</si>
  <si>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</si>
  <si>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</si>
  <si>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</si>
  <si>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</si>
  <si>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</si>
  <si>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</si>
  <si>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</si>
  <si>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</si>
  <si>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</si>
  <si>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</si>
  <si>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</si>
  <si>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</si>
  <si>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</si>
  <si>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</si>
  <si>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</si>
  <si>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</si>
  <si>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</si>
  <si>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</si>
  <si>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</si>
  <si>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</si>
  <si>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</si>
  <si>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</si>
  <si>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</si>
  <si>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</si>
  <si>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</si>
  <si>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</si>
  <si>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</si>
  <si>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</si>
  <si>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</si>
  <si>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</si>
  <si>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</si>
  <si>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</si>
  <si>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</si>
  <si>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</si>
  <si>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</si>
  <si>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</si>
  <si>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</si>
  <si>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</si>
  <si>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</si>
  <si>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</si>
  <si>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</si>
  <si>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</si>
  <si>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</si>
  <si>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</si>
  <si>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</si>
  <si>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</si>
  <si>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</si>
  <si>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</si>
  <si>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</si>
  <si>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</si>
  <si>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</si>
  <si>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</si>
  <si>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</si>
  <si>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</si>
  <si>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</si>
  <si>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</si>
  <si>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</si>
  <si>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</si>
  <si>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</si>
  <si>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</si>
  <si>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</si>
  <si>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</si>
  <si>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</si>
  <si>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</si>
  <si>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</si>
  <si>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</si>
  <si>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</si>
  <si>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</si>
  <si>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</si>
  <si>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</si>
  <si>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</si>
  <si>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</si>
  <si>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</si>
  <si>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</si>
  <si>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</si>
  <si>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</si>
  <si>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</si>
  <si>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</si>
  <si>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</si>
  <si>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</si>
  <si>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</si>
  <si>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</si>
  <si>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</si>
  <si>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</si>
  <si>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</si>
  <si>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</si>
  <si>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</si>
  <si>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</si>
  <si>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</si>
  <si>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</si>
  <si>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</si>
  <si>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</si>
  <si>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</si>
  <si>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</si>
  <si>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</si>
  <si>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</si>
  <si>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</si>
  <si>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</si>
  <si>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</si>
  <si>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</si>
  <si>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</si>
  <si>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</si>
  <si>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</si>
  <si>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</si>
  <si>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</si>
  <si>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</si>
  <si>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</si>
  <si>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</si>
  <si>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</si>
  <si>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</si>
  <si>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</si>
  <si>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</si>
  <si>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</si>
  <si>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</si>
  <si>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</si>
  <si>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</si>
  <si>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</si>
  <si>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</si>
  <si>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</si>
  <si>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</si>
  <si>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</si>
  <si>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</si>
  <si>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</si>
  <si>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</si>
  <si>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</si>
  <si>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</si>
  <si>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</si>
  <si>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</si>
  <si>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</si>
  <si>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</si>
  <si>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</si>
  <si>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</si>
  <si>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</si>
  <si>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</si>
  <si>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</si>
  <si>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</si>
  <si>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</si>
  <si>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</si>
  <si>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</si>
  <si>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</si>
  <si>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</si>
  <si>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</si>
  <si>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</si>
  <si>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</si>
  <si>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</si>
  <si>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</si>
  <si>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</si>
  <si>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</si>
  <si>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</si>
  <si>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</si>
  <si>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</si>
  <si>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</si>
  <si>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</si>
  <si>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</si>
  <si>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</si>
  <si>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</si>
  <si>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</si>
  <si>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</si>
  <si>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</si>
  <si>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</si>
  <si>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</si>
  <si>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</si>
  <si>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</si>
  <si>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</si>
  <si>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</si>
  <si>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</si>
  <si>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</si>
  <si>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</si>
  <si>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</si>
  <si>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</si>
  <si>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</si>
  <si>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</si>
  <si>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</si>
  <si>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</si>
  <si>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</si>
  <si>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</si>
  <si>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</si>
  <si>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</si>
  <si>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</si>
  <si>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</si>
  <si>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</si>
  <si>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</si>
  <si>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</si>
  <si>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</si>
  <si>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</si>
  <si>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</si>
  <si>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</si>
  <si>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</si>
  <si>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</si>
  <si>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</si>
  <si>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</si>
  <si>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</si>
  <si>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</si>
  <si>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</si>
  <si>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</si>
  <si>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</si>
  <si>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</si>
  <si>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</si>
  <si>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</si>
  <si>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</si>
  <si>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</si>
  <si>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</si>
  <si>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</si>
  <si>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</si>
  <si>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</si>
  <si>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</si>
  <si>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</si>
  <si>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</si>
  <si>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</si>
  <si>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</si>
  <si>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</si>
  <si>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</si>
  <si>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</si>
  <si>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</si>
  <si>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</si>
  <si>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</si>
  <si>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</si>
  <si>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</si>
  <si>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</si>
  <si>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</si>
  <si>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</si>
  <si>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</si>
  <si>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</si>
  <si>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</si>
  <si>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</si>
  <si>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</si>
  <si>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</si>
  <si>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</si>
  <si>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</si>
  <si>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</si>
  <si>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</si>
  <si>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</si>
  <si>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</si>
  <si>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</si>
  <si>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</si>
  <si>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</si>
  <si>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</si>
  <si>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</si>
  <si>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</si>
  <si>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</si>
  <si>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</si>
  <si>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</si>
  <si>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</si>
  <si>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</si>
  <si>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</si>
  <si>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</si>
  <si>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</si>
  <si>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</si>
  <si>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</si>
  <si>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</si>
  <si>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</si>
  <si>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</si>
  <si>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</si>
  <si>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</si>
  <si>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</si>
  <si>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</si>
  <si>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</si>
  <si>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</si>
  <si>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</si>
  <si>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</si>
  <si>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</si>
  <si>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</si>
  <si>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</si>
  <si>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</si>
  <si>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</si>
  <si>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</si>
  <si>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</si>
  <si>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</si>
  <si>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</si>
  <si>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</si>
  <si>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</si>
  <si>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</si>
  <si>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</si>
  <si>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</si>
  <si>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</si>
  <si>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</si>
  <si>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</si>
  <si>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</si>
  <si>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</si>
  <si>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</si>
  <si>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</si>
  <si>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</si>
  <si>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</si>
  <si>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</si>
  <si>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</si>
  <si>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</si>
  <si>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</si>
  <si>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</si>
  <si>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</si>
  <si>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</si>
  <si>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</si>
  <si>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</si>
  <si>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</si>
  <si>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</si>
  <si>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</si>
  <si>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</si>
  <si>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</si>
  <si>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</si>
  <si>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</si>
  <si>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</si>
  <si>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</si>
  <si>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</si>
  <si>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</si>
  <si>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</si>
  <si>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</si>
  <si>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</si>
  <si>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</si>
  <si>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</si>
  <si>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</si>
  <si>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</si>
  <si>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</si>
  <si>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</si>
  <si>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</si>
  <si>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</si>
  <si>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</si>
  <si>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</si>
  <si>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</si>
  <si>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</si>
  <si>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</si>
  <si>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</si>
  <si>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</si>
  <si>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</si>
  <si>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</si>
  <si>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</si>
  <si>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</si>
  <si>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</si>
  <si>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</si>
  <si>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</si>
  <si>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</si>
  <si>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</si>
  <si>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</si>
  <si>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</si>
  <si>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</si>
  <si>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</si>
  <si>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</si>
  <si>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</si>
  <si>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</si>
  <si>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</si>
  <si>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</si>
  <si>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</si>
  <si>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</si>
  <si>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</si>
  <si>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</si>
  <si>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</si>
  <si>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</si>
  <si>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</si>
  <si>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</si>
  <si>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</si>
  <si>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</si>
  <si>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</si>
  <si>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</si>
  <si>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</si>
  <si>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</si>
  <si>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</si>
  <si>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</si>
  <si>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</si>
  <si>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</si>
  <si>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</si>
  <si>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</si>
  <si>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</si>
  <si>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</si>
  <si>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</si>
  <si>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</si>
  <si>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</si>
  <si>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</si>
  <si>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</si>
  <si>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</si>
  <si>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</si>
  <si>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</si>
  <si>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</si>
  <si>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</si>
  <si>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</si>
  <si>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</si>
  <si>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</si>
  <si>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</si>
  <si>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</si>
  <si>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</si>
  <si>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</si>
  <si>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</si>
  <si>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</si>
  <si>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</si>
  <si>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</si>
  <si>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</si>
  <si>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</si>
  <si>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</si>
  <si>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</si>
  <si>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</si>
  <si>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</si>
  <si>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</si>
  <si>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</si>
  <si>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</si>
  <si>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</si>
  <si>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</si>
  <si>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</si>
  <si>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</si>
  <si>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</si>
  <si>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</si>
  <si>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</si>
  <si>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</si>
  <si>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</si>
  <si>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</si>
  <si>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</si>
  <si>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</si>
  <si>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</si>
  <si>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</si>
  <si>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</si>
  <si>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</si>
  <si>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</si>
  <si>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</si>
  <si>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</si>
  <si>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</si>
  <si>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</si>
  <si>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</si>
  <si>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</si>
  <si>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</si>
  <si>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</si>
  <si>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</si>
  <si>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</si>
  <si>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</si>
  <si>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</si>
  <si>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</si>
  <si>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</si>
  <si>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</si>
  <si>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</si>
  <si>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</si>
  <si>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</si>
  <si>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</si>
  <si>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</si>
  <si>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</si>
  <si>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</si>
  <si>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</si>
  <si>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</si>
  <si>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</si>
  <si>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</si>
  <si>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</si>
  <si>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</si>
  <si>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</si>
  <si>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</si>
  <si>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</si>
  <si>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</si>
  <si>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</si>
  <si>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</si>
  <si>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</si>
  <si>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</si>
  <si>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</si>
  <si>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</si>
  <si>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</si>
  <si>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</si>
  <si>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</si>
  <si>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</si>
  <si>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</si>
  <si>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</si>
  <si>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</si>
  <si>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</si>
  <si>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</si>
  <si>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</si>
  <si>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</si>
  <si>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</si>
  <si>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</si>
  <si>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</si>
  <si>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</si>
  <si>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</si>
  <si>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</si>
  <si>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</si>
  <si>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</si>
  <si>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</si>
  <si>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</si>
  <si>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</si>
  <si>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</si>
  <si>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</si>
  <si>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</si>
  <si>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</si>
  <si>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</si>
  <si>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</si>
  <si>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</si>
  <si>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</si>
  <si>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</si>
  <si>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</si>
  <si>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</si>
  <si>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</si>
  <si>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</si>
  <si>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</si>
  <si>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</si>
  <si>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</si>
  <si>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</si>
  <si>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</si>
  <si>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</si>
  <si>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</si>
  <si>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</si>
  <si>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</si>
  <si>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</si>
  <si>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</si>
  <si>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</si>
  <si>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</si>
  <si>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</si>
  <si>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</si>
  <si>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</si>
  <si>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</si>
  <si>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</si>
  <si>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</si>
  <si>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</si>
  <si>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</si>
  <si>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</si>
  <si>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</si>
  <si>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</si>
  <si>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</si>
  <si>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</si>
  <si>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</si>
  <si>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</si>
  <si>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</si>
  <si>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</si>
  <si>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</si>
  <si>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</si>
  <si>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</si>
  <si>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</si>
  <si>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</si>
  <si>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</si>
  <si>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</si>
  <si>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</si>
  <si>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</si>
  <si>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</si>
  <si>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</si>
  <si>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</si>
  <si>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</si>
  <si>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</si>
  <si>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</si>
  <si>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</si>
  <si>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</si>
  <si>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</si>
  <si>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</si>
  <si>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</si>
  <si>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</si>
  <si>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</si>
  <si>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</si>
  <si>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</si>
  <si>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</si>
  <si>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</si>
  <si>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</si>
  <si>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</si>
  <si>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</si>
  <si>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</si>
  <si>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</si>
  <si>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</si>
  <si>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</si>
  <si>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</si>
  <si>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</si>
  <si>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</si>
  <si>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</si>
  <si>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</si>
  <si>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</si>
  <si>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</si>
  <si>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</si>
  <si>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</si>
  <si>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</si>
  <si>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</si>
  <si>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</si>
  <si>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</si>
  <si>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</si>
  <si>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</si>
  <si>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</si>
  <si>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</si>
  <si>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</si>
  <si>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</si>
  <si>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</si>
  <si>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</si>
  <si>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</si>
  <si>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</si>
  <si>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</si>
  <si>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</si>
  <si>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</si>
  <si>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</si>
  <si>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</si>
  <si>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</si>
  <si>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</si>
  <si>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</si>
  <si>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</si>
  <si>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</si>
  <si>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</si>
  <si>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</si>
  <si>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</si>
  <si>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</si>
  <si>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</si>
  <si>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</si>
  <si>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</si>
  <si>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</si>
  <si>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</si>
  <si>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</si>
  <si>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</si>
  <si>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</si>
  <si>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</si>
  <si>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</si>
  <si>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</si>
  <si>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</si>
  <si>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</si>
  <si>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</si>
  <si>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</si>
  <si>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</si>
  <si>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</si>
  <si>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</si>
  <si>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</si>
  <si>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</si>
  <si>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</si>
  <si>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</si>
  <si>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</si>
  <si>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</si>
  <si>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</si>
  <si>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</si>
  <si>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</si>
  <si>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</si>
  <si>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</si>
  <si>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</si>
  <si>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</si>
  <si>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</si>
  <si>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</si>
  <si>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</si>
  <si>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</si>
  <si>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</si>
  <si>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</si>
  <si>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</si>
  <si>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</si>
  <si>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</si>
  <si>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</si>
  <si>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</si>
  <si>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</si>
  <si>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</si>
  <si>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</si>
  <si>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</si>
  <si>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</si>
  <si>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</si>
  <si>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</si>
  <si>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</si>
  <si>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</si>
  <si>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</si>
  <si>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</si>
  <si>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</si>
  <si>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</si>
  <si>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</si>
  <si>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</si>
  <si>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</si>
  <si>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</si>
  <si>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</si>
  <si>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</si>
  <si>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</si>
  <si>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</si>
  <si>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</si>
  <si>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</si>
  <si>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</si>
  <si>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</si>
  <si>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</si>
  <si>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</si>
  <si>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</si>
  <si>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</si>
  <si>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</si>
  <si>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</si>
  <si>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</si>
  <si>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</si>
  <si>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</si>
  <si>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</si>
  <si>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</si>
  <si>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</si>
  <si>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</si>
  <si>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</si>
  <si>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</si>
  <si>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</si>
  <si>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</si>
  <si>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</si>
  <si>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</si>
  <si>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</si>
  <si>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</si>
  <si>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</si>
  <si>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</si>
  <si>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</si>
  <si>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</si>
  <si>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</si>
  <si>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</si>
  <si>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</si>
  <si>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</si>
  <si>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</si>
  <si>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</si>
  <si>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</si>
  <si>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</si>
  <si>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</si>
  <si>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</si>
  <si>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</si>
  <si>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</si>
  <si>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</si>
  <si>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</si>
  <si>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</si>
  <si>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</si>
  <si>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</si>
  <si>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</si>
  <si>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</si>
  <si>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</si>
  <si>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</si>
  <si>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</si>
  <si>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</si>
  <si>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</si>
  <si>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</si>
  <si>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</si>
  <si>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</si>
  <si>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</si>
  <si>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</si>
  <si>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</si>
  <si>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</si>
  <si>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</si>
  <si>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</si>
  <si>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</si>
  <si>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</si>
  <si>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</si>
  <si>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</si>
  <si>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</si>
  <si>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</si>
  <si>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</si>
  <si>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</si>
  <si>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</si>
  <si>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</si>
  <si>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</si>
  <si>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</si>
  <si>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</si>
  <si>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</si>
  <si>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</si>
  <si>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</si>
  <si>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</si>
  <si>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</si>
  <si>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</si>
  <si>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</si>
  <si>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</si>
  <si>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</si>
  <si>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</si>
  <si>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</si>
  <si>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</si>
  <si>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</si>
  <si>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</si>
  <si>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</si>
  <si>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</si>
  <si>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</si>
  <si>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</si>
  <si>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</si>
  <si>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</si>
  <si>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</si>
  <si>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</si>
  <si>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</si>
  <si>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</si>
  <si>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</si>
  <si>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</si>
  <si>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</si>
  <si>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</si>
  <si>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</si>
  <si>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</si>
  <si>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</si>
  <si>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</si>
  <si>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</si>
  <si>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</si>
  <si>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</si>
  <si>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</si>
  <si>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</si>
  <si>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</si>
  <si>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</si>
  <si>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</si>
  <si>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</si>
  <si>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</si>
  <si>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</si>
  <si>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</si>
  <si>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</si>
  <si>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</si>
  <si>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</si>
  <si>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</si>
  <si>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</si>
  <si>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</si>
  <si>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</si>
  <si>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</si>
  <si>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</si>
  <si>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</si>
  <si>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</si>
  <si>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</si>
  <si>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</si>
  <si>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</si>
  <si>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</si>
  <si>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</si>
  <si>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</si>
  <si>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</si>
  <si>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</si>
  <si>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</si>
  <si>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</si>
  <si>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</si>
  <si>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</si>
  <si>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</si>
  <si>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</si>
  <si>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</si>
  <si>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</si>
  <si>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</si>
  <si>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</si>
  <si>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</si>
  <si>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</si>
  <si>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</si>
  <si>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</si>
  <si>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</si>
  <si>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</si>
  <si>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</si>
  <si>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</si>
  <si>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</si>
  <si>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</si>
  <si>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</si>
  <si>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</si>
  <si>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</si>
  <si>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</si>
  <si>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</si>
  <si>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</si>
  <si>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</si>
  <si>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</si>
  <si>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</si>
  <si>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</si>
  <si>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</si>
  <si>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</si>
  <si>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</si>
  <si>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</si>
  <si>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</si>
  <si>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</si>
  <si>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</si>
  <si>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</si>
  <si>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</si>
  <si>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</si>
  <si>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</si>
  <si>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</si>
  <si>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</si>
  <si>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</si>
  <si>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</si>
  <si>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</si>
  <si>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</si>
  <si>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</si>
  <si>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</si>
  <si>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</si>
  <si>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</si>
  <si>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</si>
  <si>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</si>
  <si>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</si>
  <si>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</si>
  <si>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</si>
  <si>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</si>
  <si>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</si>
  <si>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</si>
  <si>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</si>
  <si>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</si>
  <si>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</si>
  <si>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</si>
  <si>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</si>
  <si>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</si>
  <si>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</si>
  <si>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</si>
  <si>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</si>
  <si>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</si>
  <si>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</si>
  <si>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</si>
  <si>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</si>
  <si>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</si>
  <si>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</si>
  <si>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</si>
  <si>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</si>
  <si>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</si>
  <si>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</si>
  <si>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</si>
  <si>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</si>
  <si>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</si>
  <si>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</si>
  <si>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</si>
  <si>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</si>
  <si>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</si>
  <si>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</si>
  <si>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</si>
  <si>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</si>
  <si>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</si>
  <si>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</si>
  <si>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</si>
  <si>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</si>
  <si>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</si>
  <si>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</si>
  <si>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</si>
  <si>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</si>
  <si>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</si>
  <si>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</si>
  <si>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</si>
  <si>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</si>
  <si>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</si>
  <si>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</si>
  <si>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</si>
  <si>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</si>
  <si>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</si>
  <si>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</si>
  <si>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</si>
  <si>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</si>
  <si>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</si>
  <si>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</si>
  <si>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</si>
  <si>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</si>
  <si>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</si>
  <si>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</si>
  <si>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</si>
  <si>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</si>
  <si>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</si>
  <si>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</si>
  <si>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</si>
  <si>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</si>
  <si>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</si>
  <si>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</si>
  <si>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</si>
  <si>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</si>
  <si>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</si>
  <si>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</si>
  <si>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</si>
  <si>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</si>
  <si>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</si>
  <si>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</si>
  <si>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</si>
  <si>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</si>
  <si>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</si>
  <si>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</si>
  <si>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</si>
  <si>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</si>
  <si>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</si>
  <si>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</si>
  <si>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</si>
  <si>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</si>
  <si>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</si>
  <si>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</si>
  <si>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</si>
  <si>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</si>
  <si>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</si>
  <si>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</si>
  <si>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</si>
  <si>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</si>
  <si>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</si>
  <si>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</si>
  <si>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</si>
  <si>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</si>
  <si>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</si>
  <si>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</si>
  <si>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</si>
  <si>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</si>
  <si>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</si>
  <si>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</si>
  <si>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</si>
  <si>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</si>
  <si>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</si>
  <si>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</si>
  <si>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</si>
  <si>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</si>
  <si>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</si>
  <si>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</si>
  <si>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</si>
  <si>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</si>
  <si>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</si>
  <si>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</si>
  <si>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</si>
  <si>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</si>
  <si>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</si>
  <si>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</si>
  <si>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</si>
  <si>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</si>
  <si>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</si>
  <si>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</si>
  <si>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</si>
  <si>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</si>
  <si>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</si>
  <si>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</si>
  <si>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</si>
  <si>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</si>
  <si>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</si>
  <si>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</si>
  <si>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</si>
  <si>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</si>
  <si>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</si>
  <si>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</si>
  <si>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</si>
  <si>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</si>
  <si>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</si>
  <si>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</si>
  <si>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</si>
  <si>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</si>
  <si>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</si>
  <si>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</si>
  <si>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</si>
  <si>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</si>
  <si>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</si>
  <si>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</si>
  <si>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</si>
  <si>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</si>
  <si>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</si>
  <si>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</si>
  <si>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</si>
  <si>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</si>
  <si>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</si>
  <si>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</si>
  <si>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</si>
  <si>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</si>
  <si>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</si>
  <si>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</si>
  <si>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</si>
  <si>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</si>
  <si>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</si>
  <si>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</si>
  <si>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</si>
  <si>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</si>
  <si>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</si>
  <si>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</si>
  <si>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</si>
  <si>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</si>
  <si>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</si>
  <si>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</si>
  <si>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</si>
  <si>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</si>
  <si>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</si>
  <si>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</si>
  <si>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</si>
  <si>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</si>
  <si>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</si>
  <si>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</si>
  <si>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</si>
  <si>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</si>
  <si>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</si>
  <si>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</si>
  <si>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</si>
  <si>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</si>
  <si>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</si>
  <si>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</si>
  <si>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</si>
  <si>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</si>
  <si>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</si>
  <si>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</si>
  <si>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</si>
  <si>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</si>
  <si>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</si>
  <si>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</si>
  <si>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</si>
  <si>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</si>
  <si>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</si>
  <si>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</si>
  <si>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</si>
  <si>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</si>
  <si>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</si>
  <si>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</si>
  <si>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</si>
  <si>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</si>
  <si>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</si>
  <si>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</si>
  <si>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</si>
  <si>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</si>
  <si>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</si>
  <si>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</si>
  <si>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</si>
  <si>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</si>
  <si>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</si>
  <si>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</si>
  <si>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</si>
  <si>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</si>
  <si>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</si>
  <si>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</si>
  <si>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</si>
  <si>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</si>
  <si>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</si>
  <si>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</si>
  <si>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</si>
  <si>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</si>
  <si>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</si>
  <si>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</si>
  <si>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</si>
  <si>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</si>
  <si>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</si>
  <si>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</si>
  <si>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</si>
  <si>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</si>
  <si>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</si>
  <si>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</si>
  <si>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</si>
  <si>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</si>
  <si>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</si>
  <si>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</si>
  <si>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</si>
  <si>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</si>
  <si>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</si>
  <si>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</si>
  <si>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</si>
  <si>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</si>
  <si>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</si>
  <si>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</si>
  <si>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</si>
  <si>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</si>
  <si>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</si>
  <si>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</si>
  <si>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</si>
  <si>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</si>
  <si>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</si>
  <si>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</si>
  <si>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</si>
  <si>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</si>
  <si>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</si>
  <si>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</si>
  <si>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</si>
  <si>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</si>
  <si>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</si>
  <si>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</si>
  <si>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</si>
  <si>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</si>
  <si>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</si>
  <si>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</si>
  <si>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</si>
  <si>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</si>
  <si>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</si>
  <si>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</si>
  <si>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</si>
  <si>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</si>
  <si>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</si>
  <si>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</si>
  <si>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</si>
  <si>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</si>
  <si>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</si>
  <si>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</si>
  <si>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</si>
  <si>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</si>
  <si>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</si>
  <si>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</si>
  <si>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</si>
  <si>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</si>
  <si>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</si>
  <si>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</si>
  <si>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</si>
  <si>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</si>
  <si>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</si>
  <si>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</si>
  <si>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</si>
  <si>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</si>
  <si>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</si>
  <si>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</si>
  <si>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</si>
  <si>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</si>
  <si>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</si>
  <si>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</si>
  <si>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</si>
  <si>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</si>
  <si>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</si>
  <si>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</si>
  <si>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</si>
  <si>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</si>
  <si>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</si>
  <si>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</si>
  <si>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</si>
  <si>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</si>
  <si>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</si>
  <si>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</si>
  <si>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</si>
  <si>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</si>
  <si>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</si>
  <si>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</si>
  <si>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</si>
  <si>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</si>
  <si>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</si>
  <si>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</si>
  <si>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</si>
  <si>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</si>
  <si>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</si>
  <si>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</si>
  <si>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</si>
  <si>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</si>
  <si>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</si>
  <si>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</si>
  <si>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</si>
  <si>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</si>
  <si>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</si>
  <si>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</si>
  <si>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</si>
  <si>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</si>
  <si>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</si>
  <si>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</si>
  <si>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</si>
  <si>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</si>
  <si>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</si>
  <si>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</si>
  <si>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</si>
  <si>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</si>
  <si>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</si>
  <si>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</si>
  <si>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</si>
  <si>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</si>
  <si>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</si>
  <si>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</si>
  <si>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</si>
  <si>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</si>
  <si>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</si>
  <si>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</si>
  <si>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</si>
  <si>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</si>
  <si>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</si>
  <si>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</si>
  <si>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</si>
  <si>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</si>
  <si>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</si>
  <si>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</si>
  <si>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</si>
  <si>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</si>
  <si>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</si>
  <si>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</si>
  <si>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</si>
  <si>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</si>
  <si>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</si>
  <si>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</si>
  <si>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</si>
  <si>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</si>
  <si>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</si>
  <si>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</si>
  <si>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</si>
  <si>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</si>
  <si>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</si>
  <si>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</si>
  <si>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</si>
  <si>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</si>
  <si>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</si>
  <si>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</si>
  <si>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</si>
  <si>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</si>
  <si>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</si>
  <si>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</si>
  <si>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</si>
  <si>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</si>
  <si>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</si>
  <si>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</si>
  <si>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</si>
  <si>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</si>
  <si>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</si>
  <si>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</si>
  <si>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</si>
  <si>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</si>
  <si>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</si>
  <si>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</si>
  <si>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</si>
  <si>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</si>
  <si>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</si>
  <si>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</si>
  <si>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</si>
  <si>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</si>
  <si>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</si>
  <si>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</si>
  <si>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</si>
  <si>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</si>
  <si>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</si>
  <si>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</si>
  <si>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</si>
  <si>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</si>
  <si>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</si>
  <si>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</si>
  <si>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</si>
  <si>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</si>
  <si>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</si>
  <si>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</si>
  <si>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</si>
  <si>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</si>
  <si>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</si>
  <si>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</si>
  <si>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</si>
  <si>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</si>
  <si>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</si>
  <si>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</si>
  <si>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</si>
  <si>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</si>
  <si>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</si>
  <si>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</si>
  <si>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</si>
  <si>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</si>
  <si>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</si>
  <si>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</si>
  <si>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</si>
  <si>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</si>
  <si>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</si>
  <si>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</si>
  <si>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</si>
  <si>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</si>
  <si>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</si>
  <si>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</si>
  <si>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</si>
  <si>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</si>
  <si>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</si>
  <si>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</si>
  <si>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</si>
  <si>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</si>
  <si>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</si>
  <si>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</si>
  <si>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</si>
  <si>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</si>
  <si>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</si>
  <si>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</si>
  <si>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</si>
  <si>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</si>
  <si>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</si>
  <si>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</si>
  <si>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</si>
  <si>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</si>
  <si>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</si>
  <si>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</si>
  <si>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</si>
  <si>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</si>
  <si>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</si>
  <si>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</si>
  <si>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</si>
  <si>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</si>
  <si>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</si>
  <si>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</si>
  <si>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</si>
  <si>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</si>
  <si>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</si>
  <si>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</si>
  <si>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</si>
  <si>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</si>
  <si>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</si>
  <si>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</si>
  <si>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</si>
  <si>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</si>
  <si>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</si>
  <si>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</si>
  <si>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</si>
  <si>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</si>
  <si>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</si>
  <si>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</si>
  <si>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</si>
  <si>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</si>
  <si>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</si>
  <si>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</si>
  <si>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</si>
  <si>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</si>
  <si>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</si>
  <si>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</si>
  <si>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</si>
  <si>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</si>
  <si>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</si>
  <si>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</si>
  <si>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</si>
  <si>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</si>
  <si>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</si>
  <si>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</si>
  <si>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</si>
  <si>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</si>
  <si>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</si>
  <si>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</si>
  <si>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</si>
  <si>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</si>
  <si>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</si>
  <si>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</si>
  <si>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</si>
  <si>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</si>
  <si>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</si>
  <si>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</si>
  <si>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</si>
  <si>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</si>
  <si>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</si>
  <si>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</si>
  <si>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</si>
  <si>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</si>
  <si>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</si>
  <si>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</si>
  <si>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</si>
  <si>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</si>
  <si>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</si>
  <si>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</si>
  <si>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</si>
  <si>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</si>
  <si>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</si>
  <si>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</si>
  <si>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</si>
  <si>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</si>
  <si>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</si>
  <si>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</si>
  <si>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</si>
  <si>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</si>
  <si>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</si>
  <si>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</si>
  <si>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</si>
  <si>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</si>
  <si>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</si>
  <si>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</si>
  <si>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</si>
  <si>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</si>
  <si>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</si>
  <si>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</si>
  <si>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</si>
  <si>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</si>
  <si>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</si>
  <si>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</si>
  <si>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</si>
  <si>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</si>
  <si>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</si>
  <si>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</si>
  <si>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</si>
  <si>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</si>
  <si>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</si>
  <si>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</si>
  <si>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</si>
  <si>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</si>
  <si>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</si>
  <si>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</si>
  <si>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</si>
  <si>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</si>
  <si>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</si>
  <si>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</si>
  <si>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</si>
  <si>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</si>
  <si>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</si>
  <si>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</si>
  <si>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</si>
  <si>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</si>
  <si>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</si>
  <si>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</si>
  <si>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</si>
  <si>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</si>
  <si>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</si>
  <si>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</si>
  <si>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</si>
  <si>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</si>
  <si>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</si>
  <si>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</si>
  <si>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</si>
  <si>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</si>
  <si>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</si>
  <si>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</si>
  <si>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</si>
  <si>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</si>
  <si>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</si>
  <si>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</si>
  <si>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</si>
  <si>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</si>
  <si>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</si>
  <si>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</si>
  <si>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</si>
  <si>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</si>
  <si>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</si>
  <si>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</si>
  <si>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</si>
  <si>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</si>
  <si>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</si>
  <si>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</si>
  <si>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</si>
  <si>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</si>
  <si>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</si>
  <si>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</si>
  <si>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</si>
  <si>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</si>
  <si>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</si>
  <si>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</si>
  <si>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</si>
  <si>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</si>
  <si>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</si>
  <si>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</si>
  <si>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</si>
  <si>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</si>
  <si>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</si>
  <si>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</si>
  <si>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</si>
  <si>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</si>
  <si>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</si>
  <si>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</si>
  <si>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</si>
  <si>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</si>
  <si>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</si>
  <si>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</si>
  <si>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</si>
  <si>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</si>
  <si>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</si>
  <si>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</si>
  <si>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</si>
  <si>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</si>
  <si>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</si>
  <si>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</si>
  <si>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</si>
  <si>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</si>
  <si>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</si>
  <si>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</si>
  <si>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</si>
  <si>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</si>
  <si>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</si>
  <si>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</si>
  <si>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</si>
  <si>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</si>
  <si>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</si>
  <si>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</si>
  <si>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</si>
  <si>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</si>
  <si>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</si>
  <si>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</si>
  <si>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</si>
  <si>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</si>
  <si>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</si>
  <si>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</si>
  <si>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</si>
  <si>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</si>
  <si>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</si>
  <si>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</si>
  <si>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</si>
  <si>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</si>
  <si>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</si>
  <si>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</si>
  <si>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</si>
  <si>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</si>
  <si>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</si>
  <si>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</si>
  <si>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</si>
  <si>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</si>
  <si>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</si>
  <si>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</si>
  <si>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</si>
  <si>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</si>
  <si>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</si>
  <si>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</si>
  <si>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</si>
  <si>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</si>
  <si>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</si>
  <si>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</si>
  <si>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</si>
  <si>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</si>
  <si>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</si>
  <si>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</si>
  <si>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</si>
  <si>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</si>
  <si>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</si>
  <si>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</si>
  <si>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</si>
  <si>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</si>
  <si>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</si>
  <si>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</si>
  <si>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</si>
  <si>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</si>
  <si>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</si>
  <si>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</si>
  <si>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</si>
  <si>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</si>
  <si>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</si>
  <si>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</si>
  <si>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</si>
  <si>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</si>
  <si>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</si>
  <si>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</si>
  <si>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</si>
  <si>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</si>
  <si>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</si>
  <si>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</si>
  <si>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</si>
  <si>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</si>
  <si>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</si>
  <si>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</si>
  <si>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</si>
  <si>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</si>
  <si>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</si>
  <si>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</si>
  <si>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</si>
  <si>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</si>
  <si>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</si>
  <si>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</si>
  <si>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</si>
  <si>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</si>
  <si>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</si>
  <si>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</si>
  <si>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</si>
  <si>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</si>
  <si>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</si>
  <si>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</si>
  <si>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</si>
  <si>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</si>
  <si>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</si>
  <si>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</si>
  <si>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</si>
  <si>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</si>
  <si>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</si>
  <si>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</si>
  <si>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</si>
  <si>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</si>
  <si>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</si>
  <si>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</si>
  <si>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</si>
  <si>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</si>
  <si>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</si>
  <si>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</si>
  <si>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</si>
  <si>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</si>
  <si>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</si>
  <si>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</si>
  <si>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</si>
  <si>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</si>
  <si>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</si>
  <si>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</si>
  <si>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</si>
  <si>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</si>
  <si>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</si>
  <si>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</si>
  <si>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</si>
  <si>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</si>
  <si>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</si>
  <si>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</si>
  <si>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</si>
  <si>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</si>
  <si>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</si>
  <si>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</si>
  <si>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</si>
  <si>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</si>
  <si>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</si>
  <si>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</si>
  <si>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</si>
  <si>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</si>
  <si>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</si>
  <si>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</si>
  <si>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</si>
  <si>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</si>
  <si>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</si>
  <si>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</si>
  <si>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</si>
  <si>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</si>
  <si>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</si>
  <si>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</si>
  <si>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</si>
  <si>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</si>
  <si>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</si>
  <si>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</si>
  <si>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</si>
  <si>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</si>
  <si>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</si>
  <si>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</si>
  <si>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</si>
  <si>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</si>
  <si>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</si>
  <si>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</si>
  <si>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</si>
  <si>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</si>
  <si>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</si>
  <si>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</si>
  <si>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</si>
  <si>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</si>
  <si>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</si>
  <si>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</si>
  <si>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</si>
  <si>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</si>
  <si>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</si>
  <si>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</si>
  <si>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</si>
  <si>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</si>
  <si>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</si>
  <si>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</si>
  <si>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</si>
  <si>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</si>
  <si>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</si>
  <si>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</si>
  <si>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</si>
  <si>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</si>
  <si>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</si>
  <si>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</si>
  <si>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</si>
  <si>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</si>
  <si>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</si>
  <si>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</si>
  <si>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</si>
  <si>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</si>
  <si>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</si>
  <si>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</si>
  <si>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</si>
  <si>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</si>
  <si>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</si>
  <si>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</si>
  <si>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</si>
  <si>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</si>
  <si>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</si>
  <si>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</si>
  <si>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</si>
  <si>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</si>
  <si>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</si>
  <si>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</si>
  <si>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</si>
  <si>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</si>
  <si>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</si>
  <si>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</si>
  <si>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</si>
  <si>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</si>
  <si>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</si>
  <si>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</si>
  <si>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</si>
  <si>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</si>
  <si>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</si>
  <si>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</si>
  <si>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</si>
  <si>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</si>
  <si>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</si>
  <si>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</si>
  <si>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</si>
  <si>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</si>
  <si>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</si>
  <si>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</si>
  <si>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</si>
  <si>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</si>
  <si>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</si>
  <si>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</si>
  <si>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</si>
  <si>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</si>
  <si>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</si>
  <si>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</si>
  <si>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</si>
  <si>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</si>
  <si>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</si>
  <si>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</si>
  <si>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</si>
  <si>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</si>
  <si>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</si>
  <si>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</si>
  <si>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</si>
  <si>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</si>
  <si>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</si>
  <si>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</si>
  <si>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</si>
  <si>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</si>
  <si>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</si>
  <si>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</si>
  <si>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</si>
  <si>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</si>
  <si>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</si>
  <si>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</si>
  <si>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</si>
  <si>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</si>
  <si>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</si>
  <si>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</si>
  <si>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</si>
  <si>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</si>
  <si>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</si>
  <si>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</si>
  <si>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</si>
  <si>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</si>
  <si>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</si>
  <si>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</si>
  <si>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</si>
  <si>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</si>
  <si>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</si>
  <si>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</si>
  <si>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</si>
  <si>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</si>
  <si>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</si>
  <si>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</si>
  <si>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</si>
  <si>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</si>
  <si>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</si>
  <si>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</si>
  <si>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</si>
  <si>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</si>
  <si>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</si>
  <si>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</si>
  <si>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</si>
  <si>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</si>
  <si>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</si>
  <si>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</si>
  <si>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</si>
  <si>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</si>
  <si>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</si>
  <si>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</si>
  <si>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</si>
  <si>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</si>
  <si>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</si>
  <si>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</si>
  <si>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</si>
  <si>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</si>
  <si>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</si>
  <si>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</si>
  <si>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</si>
  <si>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</si>
  <si>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</si>
  <si>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</si>
  <si>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</si>
  <si>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</si>
  <si>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</si>
  <si>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</si>
  <si>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</si>
  <si>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</si>
  <si>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</si>
  <si>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</si>
  <si>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</si>
  <si>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</si>
  <si>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</si>
  <si>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</si>
  <si>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</si>
  <si>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</si>
  <si>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</si>
  <si>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</si>
  <si>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</si>
  <si>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</si>
  <si>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</si>
  <si>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</si>
  <si>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</si>
  <si>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</si>
  <si>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</si>
  <si>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</si>
  <si>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</si>
  <si>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</si>
  <si>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</si>
  <si>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</si>
  <si>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</si>
  <si>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</si>
  <si>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</si>
  <si>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</si>
  <si>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</si>
  <si>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</si>
  <si>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</si>
  <si>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</si>
  <si>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</si>
  <si>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</si>
  <si>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</si>
  <si>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</si>
  <si>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</si>
  <si>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</si>
  <si>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</si>
  <si>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</si>
  <si>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</si>
  <si>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</si>
  <si>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</si>
  <si>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</si>
  <si>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</si>
  <si>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</si>
  <si>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</si>
  <si>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</si>
  <si>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</si>
  <si>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</si>
  <si>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</si>
  <si>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</si>
  <si>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</si>
  <si>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</si>
  <si>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</si>
  <si>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</si>
  <si>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</si>
  <si>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</si>
  <si>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</si>
  <si>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</si>
  <si>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</si>
  <si>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</si>
  <si>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</si>
  <si>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</si>
  <si>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</si>
  <si>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</si>
  <si>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</si>
  <si>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</si>
  <si>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</si>
  <si>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</si>
  <si>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</si>
  <si>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</si>
  <si>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</si>
  <si>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</si>
  <si>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</si>
  <si>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</si>
  <si>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</si>
  <si>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</si>
  <si>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</si>
  <si>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</si>
  <si>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</si>
  <si>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</si>
  <si>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</si>
  <si>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</si>
  <si>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</si>
  <si>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</si>
  <si>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</si>
  <si>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</si>
  <si>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</si>
  <si>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</si>
  <si>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</si>
  <si>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</si>
  <si>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</si>
  <si>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</si>
  <si>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</si>
  <si>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</si>
  <si>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</si>
  <si>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</si>
  <si>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</si>
  <si>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</si>
  <si>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</si>
  <si>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</si>
  <si>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</si>
  <si>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</si>
  <si>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</si>
  <si>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</si>
  <si>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</si>
  <si>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</si>
  <si>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</si>
  <si>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</si>
  <si>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</si>
  <si>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</si>
  <si>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</si>
  <si>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</si>
  <si>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</si>
  <si>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</si>
  <si>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</si>
  <si>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</si>
  <si>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</si>
  <si>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</si>
  <si>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</si>
  <si>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</si>
  <si>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</si>
  <si>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</si>
  <si>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</si>
  <si>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</si>
  <si>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</si>
  <si>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</si>
  <si>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</si>
  <si>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</si>
  <si>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</si>
  <si>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</si>
  <si>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</si>
  <si>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</si>
  <si>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</si>
  <si>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</si>
  <si>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</si>
  <si>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</si>
  <si>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</si>
  <si>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</si>
  <si>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</si>
  <si>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</si>
  <si>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</si>
  <si>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</si>
  <si>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</si>
  <si>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</si>
  <si>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</si>
  <si>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</si>
  <si>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</si>
  <si>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</si>
  <si>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</si>
  <si>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</si>
  <si>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</si>
  <si>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</si>
  <si>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</si>
  <si>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</si>
  <si>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</si>
  <si>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</si>
  <si>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</si>
  <si>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</si>
  <si>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</si>
  <si>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</si>
  <si>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</si>
  <si>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</si>
  <si>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</si>
  <si>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</si>
  <si>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</si>
  <si>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</si>
  <si>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</si>
  <si>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</si>
  <si>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</si>
  <si>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</si>
  <si>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</si>
  <si>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</si>
  <si>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</si>
  <si>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</si>
  <si>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</si>
  <si>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</si>
  <si>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</si>
  <si>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</si>
  <si>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</si>
  <si>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</si>
  <si>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</si>
  <si>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</si>
  <si>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</si>
  <si>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</si>
  <si>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</si>
  <si>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</si>
  <si>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</si>
  <si>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</si>
  <si>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</si>
  <si>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</si>
  <si>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</si>
  <si>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</si>
  <si>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</si>
  <si>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</si>
  <si>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</si>
  <si>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</si>
  <si>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</si>
  <si>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</si>
  <si>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</si>
  <si>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</si>
  <si>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</si>
  <si>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</si>
  <si>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</si>
  <si>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</si>
  <si>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</si>
  <si>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</si>
  <si>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</si>
  <si>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</si>
  <si>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</si>
  <si>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</si>
  <si>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</si>
  <si>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</si>
  <si>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</si>
  <si>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</si>
  <si>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</si>
  <si>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</si>
  <si>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</si>
  <si>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</si>
  <si>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</si>
  <si>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</si>
  <si>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</si>
  <si>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</si>
  <si>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</si>
  <si>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</si>
  <si>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</si>
  <si>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</si>
  <si>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</si>
  <si>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</si>
  <si>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</si>
  <si>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</si>
  <si>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</si>
  <si>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</si>
  <si>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</si>
  <si>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</si>
  <si>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</si>
  <si>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</si>
  <si>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</si>
  <si>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</si>
  <si>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</si>
  <si>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</si>
  <si>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</si>
  <si>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</si>
  <si>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</si>
  <si>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</si>
  <si>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</si>
  <si>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</si>
  <si>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</si>
  <si>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</si>
  <si>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</si>
  <si>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</si>
  <si>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</si>
  <si>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</si>
  <si>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</si>
  <si>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</si>
  <si>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</si>
  <si>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</si>
  <si>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</si>
  <si>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</si>
  <si>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</si>
  <si>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</si>
  <si>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</si>
  <si>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</si>
  <si>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</si>
  <si>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</si>
  <si>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</si>
  <si>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</si>
  <si>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</si>
  <si>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</si>
  <si>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</si>
  <si>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</si>
  <si>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</si>
  <si>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</si>
  <si>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</si>
  <si>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</si>
  <si>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</si>
  <si>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</si>
  <si>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</si>
  <si>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</si>
  <si>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</si>
  <si>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</si>
  <si>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</si>
  <si>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</si>
  <si>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</si>
  <si>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</si>
  <si>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</si>
  <si>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</si>
  <si>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</si>
  <si>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</si>
  <si>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</si>
  <si>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</si>
  <si>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</si>
  <si>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</si>
  <si>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</si>
  <si>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</si>
  <si>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</si>
  <si>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</si>
  <si>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</si>
  <si>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</si>
  <si>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</si>
  <si>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</si>
  <si>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</si>
  <si>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</si>
  <si>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</si>
  <si>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</si>
  <si>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</si>
  <si>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</si>
  <si>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</si>
  <si>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</si>
  <si>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</si>
  <si>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</si>
  <si>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</si>
  <si>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</si>
  <si>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</si>
  <si>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</si>
  <si>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</si>
  <si>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</si>
  <si>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</si>
  <si>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</si>
  <si>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</si>
  <si>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</si>
  <si>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</si>
  <si>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</si>
  <si>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</si>
  <si>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</si>
  <si>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</si>
  <si>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</si>
  <si>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</si>
  <si>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</si>
  <si>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</si>
  <si>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</si>
  <si>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</si>
  <si>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</si>
  <si>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</si>
  <si>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</si>
  <si>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</si>
  <si>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</si>
  <si>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</si>
  <si>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</si>
  <si>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</si>
  <si>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</si>
  <si>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</si>
  <si>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</si>
  <si>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</si>
  <si>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</si>
  <si>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</si>
  <si>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</si>
  <si>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</si>
  <si>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</si>
  <si>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</si>
  <si>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</si>
  <si>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</si>
  <si>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</si>
  <si>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</si>
  <si>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</si>
  <si>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</si>
  <si>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</si>
  <si>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</si>
  <si>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</si>
  <si>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</si>
  <si>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</si>
  <si>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</si>
  <si>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</si>
  <si>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</si>
  <si>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</si>
  <si>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</si>
  <si>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</si>
  <si>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</si>
  <si>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</si>
  <si>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</si>
  <si>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</si>
  <si>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</si>
  <si>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</si>
  <si>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</si>
  <si>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</si>
  <si>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</si>
  <si>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</si>
  <si>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</si>
  <si>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</si>
  <si>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</si>
  <si>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</si>
  <si>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</si>
  <si>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</si>
  <si>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</si>
  <si>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</si>
  <si>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</si>
  <si>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</si>
  <si>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</si>
  <si>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</si>
  <si>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</si>
  <si>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</si>
  <si>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</si>
  <si>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</si>
  <si>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</si>
  <si>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</si>
  <si>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</si>
  <si>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</si>
  <si>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</si>
  <si>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</si>
  <si>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</si>
  <si>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</si>
  <si>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</si>
  <si>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</si>
  <si>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</si>
  <si>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</si>
  <si>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</si>
  <si>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</si>
  <si>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</si>
  <si>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</si>
  <si>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</si>
  <si>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</si>
  <si>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</si>
  <si>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</si>
  <si>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</si>
  <si>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</si>
  <si>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</si>
  <si>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</si>
  <si>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</si>
  <si>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</si>
  <si>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</si>
  <si>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</si>
  <si>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</si>
  <si>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</si>
  <si>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</si>
  <si>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</si>
  <si>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</si>
  <si>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</si>
  <si>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</si>
  <si>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</si>
  <si>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</si>
  <si>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</si>
  <si>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</si>
  <si>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</si>
  <si>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</si>
  <si>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</si>
  <si>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</si>
  <si>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</si>
  <si>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</si>
  <si>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</si>
  <si>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</si>
  <si>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</si>
  <si>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</si>
  <si>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</si>
  <si>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</si>
  <si>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</si>
  <si>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</si>
  <si>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</si>
  <si>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</si>
  <si>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</si>
  <si>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</si>
  <si>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</si>
  <si>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</si>
  <si>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</si>
  <si>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</si>
  <si>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</si>
  <si>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</si>
  <si>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</si>
  <si>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</si>
  <si>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</si>
  <si>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</si>
  <si>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</si>
  <si>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</si>
  <si>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</si>
  <si>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</si>
  <si>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</si>
  <si>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</si>
  <si>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</si>
  <si>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</si>
  <si>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</si>
  <si>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</si>
  <si>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</si>
  <si>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</si>
  <si>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</si>
  <si>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</si>
  <si>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</si>
  <si>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</si>
  <si>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</si>
  <si>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</si>
  <si>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</si>
  <si>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</si>
  <si>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</si>
  <si>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</si>
  <si>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</si>
  <si>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</si>
  <si>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</si>
  <si>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</si>
  <si>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</si>
  <si>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</si>
  <si>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</si>
  <si>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</si>
  <si>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</si>
  <si>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</si>
  <si>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</si>
  <si>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</si>
  <si>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</si>
  <si>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</si>
  <si>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</si>
  <si>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</si>
  <si>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</si>
  <si>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</si>
  <si>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</si>
  <si>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</si>
  <si>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</si>
  <si>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</si>
  <si>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</si>
  <si>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</si>
  <si>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</si>
  <si>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</si>
  <si>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</si>
  <si>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</si>
  <si>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</si>
  <si>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</si>
  <si>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</si>
  <si>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</si>
  <si>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</si>
  <si>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</si>
  <si>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</si>
  <si>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</si>
  <si>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</si>
  <si>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</si>
  <si>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</si>
  <si>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</si>
  <si>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</si>
  <si>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</si>
  <si>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</si>
  <si>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</si>
  <si>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</si>
  <si>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</si>
  <si>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</si>
  <si>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</si>
  <si>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</si>
  <si>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</si>
  <si>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</si>
  <si>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</si>
  <si>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</si>
  <si>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</si>
  <si>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</si>
  <si>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</si>
  <si>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</si>
  <si>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</si>
  <si>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</si>
  <si>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</si>
  <si>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</si>
  <si>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</si>
  <si>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</si>
  <si>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</si>
  <si>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</si>
  <si>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</si>
  <si>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</si>
  <si>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</si>
  <si>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</si>
  <si>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</si>
  <si>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</si>
  <si>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</si>
  <si>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</si>
  <si>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</si>
  <si>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</si>
  <si>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</si>
  <si>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</si>
  <si>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</si>
  <si>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</si>
  <si>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</si>
  <si>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</si>
  <si>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</si>
  <si>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</si>
  <si>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</si>
  <si>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</si>
  <si>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</si>
  <si>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</si>
  <si>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</si>
  <si>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</si>
  <si>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</si>
  <si>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</si>
  <si>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</si>
  <si>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</si>
  <si>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</si>
  <si>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</si>
  <si>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</si>
  <si>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</si>
  <si>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</si>
  <si>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</si>
  <si>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</si>
  <si>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</si>
  <si>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</si>
  <si>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</si>
  <si>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</si>
  <si>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</si>
  <si>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</si>
  <si>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</si>
  <si>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</si>
  <si>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</si>
  <si>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</si>
  <si>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</si>
  <si>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</si>
  <si>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</si>
  <si>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</si>
  <si>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</si>
  <si>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</si>
  <si>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</si>
  <si>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</si>
  <si>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</si>
  <si>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</si>
  <si>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</si>
  <si>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</si>
  <si>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</si>
  <si>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</si>
  <si>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</si>
  <si>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</si>
  <si>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</si>
  <si>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</si>
  <si>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</si>
  <si>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</si>
  <si>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</si>
  <si>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</si>
  <si>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</si>
  <si>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</si>
  <si>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</si>
  <si>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</si>
  <si>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</si>
  <si>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</si>
  <si>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</si>
  <si>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</si>
  <si>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</si>
  <si>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</si>
  <si>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</si>
  <si>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</si>
  <si>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</si>
  <si>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</si>
  <si>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</si>
  <si>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</si>
  <si>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</si>
  <si>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</si>
  <si>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</si>
  <si>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</si>
  <si>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</si>
  <si>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</si>
  <si>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</si>
  <si>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</si>
  <si>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</si>
  <si>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</si>
  <si>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</si>
  <si>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</si>
  <si>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</si>
  <si>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</si>
  <si>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</si>
  <si>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</si>
  <si>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</si>
  <si>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</si>
  <si>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</si>
  <si>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</si>
  <si>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</si>
  <si>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</si>
  <si>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</si>
  <si>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</si>
  <si>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</si>
  <si>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</si>
  <si>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</si>
  <si>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</si>
  <si>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</si>
  <si>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</si>
  <si>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</si>
  <si>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</si>
  <si>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</si>
  <si>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</si>
  <si>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</si>
  <si>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</si>
  <si>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</si>
  <si>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</si>
  <si>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</si>
  <si>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</si>
  <si>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</si>
  <si>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</si>
  <si>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</si>
  <si>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</si>
  <si>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</si>
  <si>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</si>
  <si>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</si>
  <si>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</si>
  <si>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</si>
  <si>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</si>
  <si>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</si>
  <si>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</si>
  <si>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</si>
  <si>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</si>
  <si>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</si>
  <si>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</si>
  <si>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</si>
  <si>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</si>
  <si>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</si>
  <si>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</si>
  <si>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</si>
  <si>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</si>
  <si>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</si>
  <si>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</si>
  <si>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</si>
  <si>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</si>
  <si>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</si>
  <si>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</si>
  <si>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</si>
  <si>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</si>
  <si>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</si>
  <si>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</si>
  <si>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</si>
  <si>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</si>
  <si>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</si>
  <si>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</si>
  <si>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</si>
  <si>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</si>
  <si>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</si>
  <si>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</si>
  <si>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</si>
  <si>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</si>
  <si>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</si>
  <si>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</si>
  <si>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</si>
  <si>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</si>
  <si>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</si>
  <si>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</si>
  <si>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</si>
  <si>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</si>
  <si>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</si>
  <si>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</si>
  <si>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</si>
  <si>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</si>
  <si>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</si>
  <si>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</si>
  <si>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</si>
  <si>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</si>
  <si>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</si>
  <si>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</si>
  <si>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</si>
  <si>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</si>
  <si>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</si>
  <si>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</si>
  <si>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</si>
  <si>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</si>
  <si>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</si>
  <si>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</si>
  <si>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</si>
  <si>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</si>
  <si>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</si>
  <si>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</si>
  <si>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</si>
  <si>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</si>
  <si>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</si>
  <si>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</si>
  <si>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</si>
  <si>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</si>
  <si>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</si>
  <si>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</si>
  <si>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</si>
  <si>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</si>
  <si>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</si>
  <si>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</si>
  <si>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</si>
  <si>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</si>
  <si>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</si>
  <si>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</si>
  <si>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</si>
  <si>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</si>
  <si>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</si>
  <si>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</si>
  <si>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</si>
  <si>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</si>
  <si>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</si>
  <si>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</si>
  <si>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</si>
  <si>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</si>
  <si>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</si>
  <si>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</si>
  <si>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</si>
  <si>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</si>
  <si>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</si>
  <si>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</si>
  <si>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</si>
  <si>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</si>
  <si>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</si>
  <si>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</si>
  <si>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</si>
  <si>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</si>
  <si>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</si>
  <si>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</si>
  <si>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</si>
  <si>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</si>
  <si>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</si>
  <si>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</si>
  <si>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</si>
  <si>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</si>
  <si>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</si>
  <si>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</si>
  <si>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</si>
  <si>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</si>
  <si>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</si>
  <si>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</si>
  <si>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</si>
  <si>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</si>
  <si>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</si>
  <si>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</si>
  <si>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</si>
  <si>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</si>
  <si>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</si>
  <si>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</si>
  <si>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</si>
  <si>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</si>
  <si>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</si>
  <si>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</si>
  <si>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</si>
  <si>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</si>
  <si>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</si>
  <si>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</si>
  <si>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</si>
  <si>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</si>
  <si>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</si>
  <si>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</si>
  <si>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</si>
  <si>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</si>
  <si>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</si>
  <si>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</si>
  <si>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</si>
  <si>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</si>
  <si>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</si>
  <si>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</si>
  <si>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</si>
  <si>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</si>
  <si>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</si>
  <si>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</si>
  <si>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</si>
  <si>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</si>
  <si>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</si>
  <si>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</si>
  <si>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</si>
  <si>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</si>
  <si>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</si>
  <si>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</si>
  <si>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</si>
  <si>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</si>
  <si>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</si>
  <si>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</si>
  <si>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</si>
  <si>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</si>
  <si>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</si>
  <si>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</si>
  <si>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</si>
  <si>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</si>
  <si>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</si>
  <si>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</si>
  <si>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</si>
  <si>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</si>
  <si>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</si>
  <si>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</si>
  <si>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</si>
  <si>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</si>
  <si>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</si>
  <si>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</si>
  <si>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</si>
  <si>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</si>
  <si>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</si>
  <si>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</si>
  <si>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</si>
  <si>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</si>
  <si>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</si>
  <si>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</si>
  <si>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</si>
  <si>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</si>
  <si>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</si>
  <si>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</si>
  <si>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</si>
  <si>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</si>
  <si>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</si>
  <si>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</si>
  <si>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</si>
  <si>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</si>
  <si>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</si>
  <si>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</si>
  <si>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</si>
  <si>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</si>
  <si>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</si>
  <si>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</si>
  <si>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</si>
  <si>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</si>
  <si>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</si>
  <si>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</si>
  <si>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</si>
  <si>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</si>
  <si>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</si>
  <si>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</si>
  <si>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</si>
  <si>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</si>
  <si>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</si>
  <si>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</si>
  <si>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</si>
  <si>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</si>
  <si>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</si>
  <si>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</si>
  <si>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</si>
  <si>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</si>
  <si>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</si>
  <si>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</si>
  <si>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</si>
  <si>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</si>
  <si>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</si>
  <si>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</si>
  <si>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</si>
  <si>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</si>
  <si>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</si>
  <si>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</si>
  <si>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</si>
  <si>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</si>
  <si>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</si>
  <si>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</si>
  <si>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</si>
  <si>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</si>
  <si>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</si>
  <si>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</si>
  <si>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</si>
  <si>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</si>
  <si>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</si>
  <si>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</si>
  <si>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</si>
  <si>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</si>
  <si>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</si>
  <si>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</si>
  <si>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</si>
  <si>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</si>
  <si>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</si>
  <si>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</si>
  <si>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</si>
  <si>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</si>
  <si>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</si>
  <si>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</si>
  <si>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</si>
  <si>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</si>
  <si>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</si>
  <si>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</si>
  <si>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</si>
  <si>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</si>
  <si>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</si>
  <si>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</si>
  <si>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</si>
  <si>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</si>
  <si>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</si>
  <si>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</si>
  <si>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</si>
  <si>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</si>
  <si>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</si>
  <si>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</si>
  <si>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</si>
  <si>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</si>
  <si>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</si>
  <si>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</si>
  <si>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</si>
  <si>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</si>
  <si>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</si>
  <si>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</si>
  <si>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</si>
  <si>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</si>
  <si>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</si>
  <si>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</si>
  <si>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</si>
  <si>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</si>
  <si>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</si>
  <si>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</si>
  <si>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</si>
  <si>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</si>
  <si>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</si>
  <si>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</si>
  <si>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</si>
  <si>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</si>
  <si>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</si>
  <si>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</si>
  <si>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</si>
  <si>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</si>
  <si>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</si>
  <si>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</si>
  <si>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</si>
  <si>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</si>
  <si>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</si>
  <si>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</si>
  <si>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</si>
  <si>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</si>
  <si>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</si>
  <si>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</si>
  <si>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</si>
  <si>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</si>
  <si>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</si>
  <si>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</si>
  <si>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</si>
  <si>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</si>
  <si>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</si>
  <si>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</si>
  <si>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</si>
  <si>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</si>
  <si>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</si>
  <si>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</si>
  <si>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</si>
  <si>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</si>
  <si>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</si>
  <si>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</si>
  <si>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</si>
  <si>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</si>
  <si>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</si>
  <si>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</si>
  <si>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</si>
  <si>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</si>
  <si>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</si>
  <si>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</si>
  <si>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</si>
  <si>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</si>
  <si>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</si>
  <si>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</si>
  <si>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</si>
  <si>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</si>
  <si>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</si>
  <si>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</si>
  <si>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</si>
  <si>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</si>
  <si>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</si>
  <si>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</si>
  <si>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</si>
  <si>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</si>
  <si>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</si>
  <si>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</si>
  <si>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</si>
  <si>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</si>
  <si>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</si>
  <si>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</si>
  <si>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</si>
  <si>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</si>
  <si>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</si>
  <si>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</si>
  <si>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</si>
  <si>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</si>
  <si>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</si>
  <si>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</si>
  <si>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</si>
  <si>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</si>
  <si>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</si>
  <si>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</si>
  <si>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</si>
  <si>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</si>
  <si>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</si>
  <si>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</si>
  <si>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</si>
  <si>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</si>
  <si>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</si>
  <si>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</si>
  <si>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</si>
  <si>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</si>
  <si>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</si>
  <si>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</si>
  <si>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</si>
  <si>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</si>
  <si>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</si>
  <si>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</si>
  <si>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</si>
  <si>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</si>
  <si>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</si>
  <si>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</si>
  <si>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</si>
  <si>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</si>
  <si>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</si>
  <si>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</si>
  <si>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</si>
  <si>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</si>
  <si>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</si>
  <si>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</si>
  <si>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</si>
  <si>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</si>
  <si>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</si>
  <si>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</si>
  <si>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</si>
  <si>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</si>
  <si>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</si>
  <si>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</si>
  <si>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</si>
  <si>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</si>
  <si>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</si>
  <si>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</si>
  <si>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</si>
  <si>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</si>
  <si>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</si>
  <si>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</si>
  <si>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</si>
  <si>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</si>
  <si>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</si>
  <si>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</si>
  <si>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</si>
  <si>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</si>
  <si>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</si>
  <si>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</si>
  <si>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</si>
  <si>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</si>
  <si>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</si>
  <si>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</si>
  <si>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</si>
  <si>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</si>
  <si>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</si>
  <si>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</si>
  <si>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</si>
  <si>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</si>
  <si>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</si>
  <si>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</si>
  <si>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</si>
  <si>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</si>
  <si>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</si>
  <si>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</si>
  <si>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</si>
  <si>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</si>
  <si>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</si>
  <si>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</si>
  <si>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</si>
  <si>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</si>
  <si>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</si>
  <si>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</si>
  <si>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</si>
  <si>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</si>
  <si>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</si>
  <si>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</si>
  <si>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</si>
  <si>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</si>
  <si>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</si>
  <si>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</si>
  <si>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</si>
  <si>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</si>
  <si>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</si>
  <si>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</si>
  <si>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</si>
  <si>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</si>
  <si>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</si>
  <si>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</si>
  <si>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</si>
  <si>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</si>
  <si>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</si>
  <si>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</si>
  <si>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</si>
  <si>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</si>
  <si>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</si>
  <si>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</si>
  <si>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</si>
  <si>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</si>
  <si>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</si>
  <si>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</si>
  <si>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</si>
  <si>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</si>
  <si>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</si>
  <si>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</si>
  <si>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</si>
  <si>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</si>
  <si>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</si>
  <si>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</si>
  <si>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</si>
  <si>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</si>
  <si>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</si>
  <si>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</si>
  <si>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</si>
  <si>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</si>
  <si>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</si>
  <si>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</si>
  <si>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</si>
  <si>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</si>
  <si>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</si>
  <si>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</si>
  <si>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</si>
  <si>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</si>
  <si>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</si>
  <si>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</si>
  <si>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</si>
  <si>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</si>
  <si>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</si>
  <si>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</si>
  <si>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</si>
  <si>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</si>
  <si>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</si>
  <si>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</si>
  <si>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</si>
  <si>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</si>
  <si>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</si>
  <si>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</si>
  <si>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</si>
  <si>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</si>
  <si>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</si>
  <si>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</si>
  <si>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</si>
  <si>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</si>
  <si>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</si>
  <si>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</si>
  <si>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</si>
  <si>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</si>
  <si>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</si>
  <si>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</si>
  <si>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</si>
  <si>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</si>
  <si>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</si>
  <si>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</si>
  <si>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</si>
  <si>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</si>
  <si>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</si>
  <si>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</si>
  <si>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</si>
  <si>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</si>
  <si>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</si>
  <si>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</si>
  <si>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</si>
  <si>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</si>
  <si>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</si>
  <si>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</si>
  <si>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</si>
  <si>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</si>
  <si>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</si>
  <si>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</si>
  <si>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</si>
  <si>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</si>
  <si>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</si>
  <si>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</si>
  <si>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</si>
  <si>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</si>
  <si>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</si>
  <si>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</si>
  <si>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</si>
  <si>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</si>
  <si>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</si>
  <si>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</si>
  <si>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</si>
  <si>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</si>
  <si>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</si>
  <si>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</si>
  <si>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</si>
  <si>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</si>
  <si>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</si>
  <si>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</si>
  <si>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</si>
  <si>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</si>
  <si>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</si>
  <si>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</si>
  <si>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</si>
  <si>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</si>
  <si>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</si>
  <si>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</si>
  <si>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</si>
  <si>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</si>
  <si>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</si>
  <si>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</si>
  <si>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</si>
  <si>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</si>
  <si>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</si>
  <si>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</si>
  <si>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</si>
  <si>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</si>
  <si>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</si>
  <si>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</si>
  <si>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</si>
  <si>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</si>
  <si>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</si>
  <si>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</si>
  <si>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</si>
  <si>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</si>
  <si>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</si>
  <si>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</si>
  <si>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</si>
  <si>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</si>
  <si>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</si>
  <si>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</si>
  <si>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</si>
  <si>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</si>
  <si>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</si>
  <si>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</si>
  <si>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</si>
  <si>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</si>
  <si>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</si>
  <si>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</si>
  <si>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</si>
  <si>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</si>
  <si>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</si>
  <si>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</si>
  <si>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</si>
  <si>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</si>
  <si>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</si>
  <si>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</si>
  <si>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</si>
  <si>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</si>
  <si>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</si>
  <si>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</si>
  <si>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</si>
  <si>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</si>
  <si>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</si>
  <si>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</si>
  <si>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</si>
  <si>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</si>
  <si>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</si>
  <si>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</si>
  <si>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</si>
  <si>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</si>
  <si>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</si>
  <si>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</si>
  <si>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</si>
  <si>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</si>
  <si>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</si>
  <si>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</si>
  <si>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</si>
  <si>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</si>
  <si>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</si>
  <si>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</si>
  <si>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</si>
  <si>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</si>
  <si>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</si>
  <si>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</si>
  <si>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</si>
  <si>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</si>
  <si>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</si>
  <si>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</si>
  <si>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</si>
  <si>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</si>
  <si>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</si>
  <si>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</si>
  <si>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</si>
  <si>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</si>
  <si>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</si>
  <si>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</si>
  <si>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</si>
  <si>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</si>
  <si>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</si>
  <si>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</si>
  <si>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</si>
  <si>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</si>
  <si>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</si>
  <si>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</si>
  <si>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</si>
  <si>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</si>
  <si>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</si>
  <si>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</si>
  <si>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</si>
  <si>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</si>
  <si>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</si>
  <si>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</si>
  <si>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</si>
  <si>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</si>
  <si>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</si>
  <si>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</si>
  <si>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</si>
  <si>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</si>
  <si>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</si>
  <si>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</si>
  <si>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</si>
  <si>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</si>
  <si>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</si>
  <si>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</si>
  <si>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</si>
  <si>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</si>
  <si>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</si>
  <si>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</si>
  <si>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</si>
  <si>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</si>
  <si>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</si>
  <si>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</si>
  <si>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</si>
  <si>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</si>
  <si>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</si>
  <si>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</si>
  <si>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</si>
  <si>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</si>
  <si>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</si>
  <si>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</si>
  <si>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</si>
  <si>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</si>
  <si>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</si>
  <si>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</si>
  <si>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</si>
  <si>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</si>
  <si>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</si>
  <si>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</si>
  <si>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</si>
  <si>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</si>
  <si>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</si>
  <si>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</si>
  <si>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</si>
  <si>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</si>
  <si>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</si>
  <si>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</si>
  <si>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</si>
  <si>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</si>
  <si>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</si>
  <si>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</si>
  <si>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</si>
  <si>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</si>
  <si>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</si>
  <si>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</si>
  <si>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</si>
  <si>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</si>
  <si>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</si>
  <si>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</si>
  <si>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</si>
  <si>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</si>
  <si>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</si>
  <si>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</si>
  <si>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</si>
  <si>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</si>
  <si>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</si>
  <si>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</si>
  <si>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</si>
  <si>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</si>
  <si>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</si>
  <si>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</si>
  <si>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</si>
  <si>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</si>
  <si>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</si>
  <si>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</si>
  <si>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</si>
  <si>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</si>
  <si>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</si>
  <si>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</si>
  <si>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</si>
  <si>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</si>
  <si>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</si>
  <si>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</si>
  <si>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</si>
  <si>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</si>
  <si>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</si>
  <si>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</si>
  <si>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</si>
  <si>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</si>
  <si>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</si>
  <si>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</si>
  <si>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</si>
  <si>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</si>
  <si>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</si>
  <si>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</si>
  <si>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</si>
  <si>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</si>
  <si>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</si>
  <si>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</si>
  <si>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</si>
  <si>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</si>
  <si>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</si>
  <si>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</si>
  <si>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</si>
  <si>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</si>
  <si>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</si>
  <si>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</si>
  <si>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</si>
  <si>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</si>
  <si>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</si>
  <si>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</si>
  <si>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</si>
  <si>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</si>
  <si>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</si>
  <si>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</si>
  <si>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</si>
  <si>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</si>
  <si>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</si>
  <si>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</si>
  <si>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</si>
  <si>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</si>
  <si>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</si>
  <si>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</si>
  <si>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</si>
  <si>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</si>
  <si>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</si>
  <si>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</si>
  <si>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</si>
  <si>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</si>
  <si>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</si>
  <si>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</si>
  <si>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</si>
  <si>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</si>
  <si>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</si>
  <si>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</si>
  <si>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</si>
  <si>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</si>
  <si>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</si>
  <si>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</si>
  <si>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</si>
  <si>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</si>
  <si>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</si>
  <si>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</si>
  <si>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</si>
  <si>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</si>
  <si>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</si>
  <si>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</si>
  <si>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</si>
  <si>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</si>
  <si>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</si>
  <si>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</si>
  <si>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</si>
  <si>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</si>
  <si>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</si>
  <si>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</si>
  <si>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</si>
  <si>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</si>
  <si>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</si>
  <si>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</si>
  <si>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</si>
  <si>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</si>
  <si>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</si>
  <si>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</si>
  <si>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</si>
  <si>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</si>
  <si>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</si>
  <si>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</si>
  <si>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</si>
  <si>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</si>
  <si>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</si>
  <si>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</si>
  <si>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</si>
  <si>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</si>
  <si>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</si>
  <si>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</si>
  <si>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</si>
  <si>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</si>
  <si>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</si>
  <si>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</si>
  <si>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</si>
  <si>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</si>
  <si>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</si>
  <si>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</si>
  <si>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</si>
  <si>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</si>
  <si>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</si>
  <si>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</si>
  <si>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</si>
  <si>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</si>
  <si>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</si>
  <si>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</si>
  <si>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</si>
  <si>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</si>
  <si>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</si>
  <si>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</si>
  <si>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</si>
  <si>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</si>
  <si>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</si>
  <si>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</si>
  <si>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</si>
  <si>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</si>
  <si>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</si>
  <si>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</si>
  <si>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</si>
  <si>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</si>
  <si>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</si>
  <si>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</si>
  <si>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</si>
  <si>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</si>
  <si>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</si>
  <si>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</si>
  <si>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</si>
  <si>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</si>
  <si>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</si>
  <si>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</si>
  <si>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</si>
  <si>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</si>
  <si>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</si>
  <si>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</si>
  <si>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</si>
  <si>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</si>
  <si>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</si>
  <si>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</si>
  <si>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</si>
  <si>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</si>
  <si>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</si>
  <si>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</si>
  <si>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</si>
  <si>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</si>
  <si>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</si>
  <si>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</si>
  <si>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</si>
  <si>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</si>
  <si>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</si>
  <si>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</si>
  <si>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</si>
  <si>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</si>
  <si>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</si>
  <si>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</si>
  <si>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</si>
  <si>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</si>
  <si>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</si>
  <si>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</si>
  <si>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</si>
  <si>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</si>
  <si>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</si>
  <si>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</si>
  <si>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</si>
  <si>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</si>
  <si>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</si>
  <si>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</si>
  <si>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</si>
  <si>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</si>
  <si>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</si>
  <si>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</si>
  <si>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</si>
  <si>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</si>
  <si>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</si>
  <si>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</si>
  <si>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</si>
  <si>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</si>
  <si>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</si>
  <si>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</si>
  <si>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</si>
  <si>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</si>
  <si>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</si>
  <si>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</si>
  <si>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</si>
  <si>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</si>
  <si>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</si>
  <si>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</si>
  <si>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</si>
  <si>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</si>
  <si>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</si>
  <si>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</si>
  <si>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</si>
  <si>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</si>
  <si>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</si>
  <si>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</si>
  <si>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</si>
  <si>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</si>
  <si>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</si>
  <si>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</si>
  <si>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</si>
  <si>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</si>
  <si>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</si>
  <si>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</si>
  <si>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</si>
  <si>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</si>
  <si>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</si>
  <si>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</si>
  <si>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</si>
  <si>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</si>
  <si>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</si>
  <si>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</si>
  <si>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</si>
  <si>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</si>
  <si>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</si>
  <si>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</si>
  <si>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</si>
  <si>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</si>
  <si>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</si>
  <si>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</si>
  <si>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</si>
  <si>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</si>
  <si>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</si>
  <si>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</si>
  <si>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</si>
  <si>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</si>
  <si>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</si>
  <si>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</si>
  <si>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</si>
  <si>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</si>
  <si>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</si>
  <si>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</si>
  <si>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</si>
  <si>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</si>
  <si>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</si>
  <si>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</si>
  <si>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</si>
  <si>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</si>
  <si>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</si>
  <si>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</si>
  <si>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</si>
  <si>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</si>
  <si>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</si>
  <si>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</si>
  <si>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</si>
  <si>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</si>
  <si>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</si>
  <si>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</si>
  <si>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</si>
  <si>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</si>
  <si>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</si>
  <si>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</si>
  <si>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</si>
  <si>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</si>
  <si>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</si>
  <si>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</si>
  <si>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</si>
  <si>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</si>
  <si>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</si>
  <si>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</si>
  <si>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</si>
  <si>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</si>
  <si>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</si>
  <si>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</si>
  <si>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</si>
  <si>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</si>
  <si>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</si>
  <si>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</si>
  <si>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</si>
  <si>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</si>
  <si>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</si>
  <si>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</si>
  <si>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</si>
  <si>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</si>
  <si>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</si>
  <si>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</si>
  <si>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</si>
  <si>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</si>
  <si>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</si>
  <si>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</si>
  <si>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</si>
  <si>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</si>
  <si>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</si>
  <si>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</si>
  <si>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</si>
  <si>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</si>
  <si>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</si>
  <si>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</si>
  <si>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</si>
  <si>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</si>
  <si>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</si>
  <si>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</si>
  <si>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</si>
  <si>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</si>
  <si>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</si>
  <si>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</si>
  <si>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</si>
  <si>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</si>
  <si>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</si>
  <si>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</si>
  <si>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</si>
  <si>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</si>
  <si>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</si>
  <si>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</si>
  <si>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</si>
  <si>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</si>
  <si>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</si>
  <si>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</si>
  <si>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</si>
  <si>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</si>
  <si>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</si>
  <si>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</si>
  <si>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</si>
  <si>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</si>
  <si>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</si>
  <si>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</si>
  <si>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</si>
  <si>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</si>
  <si>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</si>
  <si>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</si>
  <si>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</si>
  <si>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</si>
  <si>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</si>
  <si>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</si>
  <si>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</si>
  <si>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</si>
  <si>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</si>
  <si>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</si>
  <si>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</si>
  <si>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</si>
  <si>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</si>
  <si>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</si>
  <si>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</si>
  <si>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</si>
  <si>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</si>
  <si>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</si>
  <si>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</si>
  <si>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</si>
  <si>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</si>
  <si>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</si>
  <si>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</si>
  <si>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</si>
  <si>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</si>
  <si>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</si>
  <si>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</si>
  <si>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</si>
  <si>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</si>
  <si>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</si>
  <si>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</si>
  <si>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</si>
  <si>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</si>
  <si>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</si>
  <si>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</si>
  <si>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</si>
  <si>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</si>
  <si>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</si>
  <si>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</si>
  <si>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</si>
  <si>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</si>
  <si>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</si>
  <si>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</si>
  <si>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</si>
  <si>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</si>
  <si>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</si>
  <si>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</si>
  <si>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</si>
  <si>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</si>
  <si>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</si>
  <si>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</si>
  <si>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</si>
  <si>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</si>
  <si>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</si>
  <si>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</si>
  <si>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</si>
  <si>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</si>
  <si>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</si>
  <si>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</si>
  <si>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</si>
  <si>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</si>
  <si>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</si>
  <si>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</si>
  <si>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</si>
  <si>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</si>
  <si>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</si>
  <si>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</si>
  <si>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</si>
  <si>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</si>
  <si>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</si>
  <si>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</si>
  <si>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</si>
  <si>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</si>
  <si>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</si>
  <si>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</si>
  <si>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</si>
  <si>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</si>
  <si>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</si>
  <si>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</si>
  <si>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</si>
  <si>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</si>
  <si>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</si>
  <si>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</si>
  <si>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</si>
  <si>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</si>
  <si>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</si>
  <si>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</si>
  <si>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</si>
  <si>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</si>
  <si>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</si>
  <si>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</si>
  <si>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</si>
  <si>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</si>
  <si>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</si>
  <si>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</si>
  <si>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</si>
  <si>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</si>
  <si>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</si>
  <si>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</si>
  <si>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</si>
  <si>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</si>
  <si>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</si>
  <si>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</si>
  <si>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</si>
  <si>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</si>
  <si>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</si>
  <si>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</si>
  <si>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</si>
  <si>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</si>
  <si>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</si>
  <si>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</si>
  <si>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</si>
  <si>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</si>
  <si>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</si>
  <si>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</si>
  <si>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</si>
  <si>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</si>
  <si>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</si>
  <si>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</si>
  <si>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</si>
  <si>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</si>
  <si>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</si>
  <si>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</si>
  <si>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</si>
  <si>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</si>
  <si>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</si>
  <si>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</si>
  <si>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</si>
  <si>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</si>
  <si>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</si>
  <si>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</si>
  <si>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</si>
  <si>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</si>
  <si>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</si>
  <si>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</si>
  <si>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</si>
  <si>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</si>
  <si>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</si>
  <si>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</si>
  <si>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</si>
  <si>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</si>
  <si>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</si>
  <si>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</si>
  <si>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</si>
  <si>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</si>
  <si>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</si>
  <si>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</si>
  <si>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</si>
  <si>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</si>
  <si>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</si>
  <si>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</si>
  <si>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</si>
  <si>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</si>
  <si>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</si>
  <si>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</si>
  <si>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</si>
  <si>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</si>
  <si>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</si>
  <si>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</si>
  <si>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</si>
  <si>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</si>
  <si>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</si>
  <si>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</si>
  <si>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</si>
  <si>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</si>
  <si>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</si>
  <si>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</si>
  <si>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</si>
  <si>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</si>
  <si>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</si>
  <si>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</si>
  <si>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</si>
  <si>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</si>
  <si>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</si>
  <si>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</si>
  <si>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</si>
  <si>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</si>
  <si>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</si>
  <si>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</si>
  <si>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</si>
  <si>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</si>
  <si>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</si>
  <si>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</si>
  <si>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</si>
  <si>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</si>
  <si>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</si>
  <si>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</si>
  <si>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</si>
  <si>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</si>
  <si>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</si>
  <si>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</si>
  <si>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</si>
  <si>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</si>
  <si>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</si>
  <si>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</si>
  <si>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</si>
  <si>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</si>
  <si>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</si>
  <si>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</si>
  <si>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</si>
  <si>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</si>
  <si>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</si>
  <si>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</si>
  <si>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</si>
  <si>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</si>
  <si>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</si>
  <si>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</si>
  <si>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</si>
  <si>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</si>
  <si>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</si>
  <si>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</si>
  <si>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</si>
  <si>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</si>
  <si>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</si>
  <si>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</si>
  <si>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</si>
  <si>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</si>
  <si>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</si>
  <si>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</si>
  <si>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</si>
  <si>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</si>
  <si>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</si>
  <si>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</si>
  <si>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</si>
  <si>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</si>
  <si>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</si>
  <si>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</si>
  <si>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</si>
  <si>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</si>
  <si>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</si>
  <si>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</si>
  <si>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</si>
  <si>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</si>
  <si>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</si>
  <si>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</si>
  <si>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</si>
  <si>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</si>
  <si>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</si>
  <si>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</si>
  <si>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</si>
  <si>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</si>
  <si>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</si>
  <si>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</si>
  <si>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</si>
  <si>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</si>
  <si>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</si>
  <si>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</si>
  <si>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</si>
  <si>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</si>
  <si>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</si>
  <si>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</si>
  <si>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</si>
  <si>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</si>
  <si>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</si>
  <si>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</si>
  <si>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</si>
  <si>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</si>
  <si>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</si>
  <si>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</si>
  <si>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</si>
  <si>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</si>
  <si>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</si>
  <si>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</si>
  <si>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</si>
  <si>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</si>
  <si>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</si>
  <si>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</si>
  <si>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</si>
  <si>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</si>
  <si>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</si>
  <si>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</si>
  <si>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</si>
  <si>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</si>
  <si>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</si>
  <si>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</si>
  <si>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</si>
  <si>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</si>
  <si>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</si>
  <si>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</si>
  <si>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</si>
  <si>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</si>
  <si>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</si>
  <si>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</si>
  <si>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</si>
  <si>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</si>
  <si>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</si>
  <si>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</si>
  <si>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</si>
  <si>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</si>
  <si>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</si>
  <si>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</si>
  <si>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</si>
  <si>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</si>
  <si>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</si>
  <si>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</si>
  <si>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</si>
  <si>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</si>
  <si>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</si>
  <si>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</si>
  <si>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</si>
  <si>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</si>
  <si>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</si>
  <si>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</si>
  <si>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</si>
  <si>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</si>
  <si>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</si>
  <si>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</si>
  <si>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</si>
  <si>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</si>
  <si>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</si>
  <si>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</si>
  <si>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</si>
  <si>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</si>
  <si>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</si>
  <si>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</si>
  <si>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</si>
  <si>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</si>
  <si>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</si>
  <si>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</si>
  <si>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</si>
  <si>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</si>
  <si>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</si>
  <si>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</si>
  <si>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</si>
  <si>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</si>
  <si>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</si>
  <si>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</si>
  <si>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</si>
  <si>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</si>
  <si>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</si>
  <si>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</si>
  <si>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</si>
  <si>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</si>
  <si>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</si>
  <si>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</si>
  <si>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</si>
  <si>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</si>
  <si>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</si>
  <si>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</si>
  <si>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</si>
  <si>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</si>
  <si>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</si>
  <si>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</si>
  <si>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</si>
  <si>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</si>
  <si>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</si>
  <si>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</si>
  <si>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</si>
  <si>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</si>
  <si>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</si>
  <si>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</si>
  <si>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</si>
  <si>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</si>
  <si>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</si>
  <si>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</si>
  <si>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</si>
  <si>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</si>
  <si>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</si>
  <si>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</si>
  <si>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</si>
  <si>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</si>
  <si>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</si>
  <si>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</si>
  <si>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</si>
  <si>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</si>
  <si>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</si>
  <si>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</si>
  <si>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</si>
  <si>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</si>
  <si>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</si>
  <si>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</si>
  <si>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</si>
  <si>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</si>
  <si>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</si>
  <si>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</si>
  <si>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</si>
  <si>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</si>
  <si>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</si>
  <si>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</si>
  <si>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</si>
  <si>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</si>
  <si>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</si>
  <si>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</si>
  <si>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</si>
  <si>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</si>
  <si>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</si>
  <si>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</si>
  <si>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</si>
  <si>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</si>
  <si>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</si>
  <si>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</si>
  <si>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</si>
  <si>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</si>
  <si>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</si>
  <si>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</si>
  <si>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</si>
  <si>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</si>
  <si>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</si>
  <si>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</si>
  <si>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</si>
  <si>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</si>
  <si>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</si>
  <si>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</si>
  <si>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</si>
  <si>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</si>
  <si>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</si>
  <si>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</si>
  <si>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</si>
  <si>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</si>
  <si>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</si>
  <si>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</si>
  <si>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</si>
  <si>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</si>
  <si>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</si>
  <si>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</si>
  <si>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</si>
  <si>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</si>
  <si>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</si>
  <si>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</si>
  <si>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</si>
  <si>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</si>
  <si>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</si>
  <si>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</si>
  <si>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</si>
  <si>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</si>
  <si>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</si>
  <si>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</si>
  <si>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</si>
  <si>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</si>
  <si>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</si>
  <si>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</si>
  <si>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</si>
  <si>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</si>
  <si>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</si>
  <si>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</si>
  <si>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</si>
  <si>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</si>
  <si>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</si>
  <si>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</si>
  <si>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</si>
  <si>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</si>
  <si>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</si>
  <si>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</si>
  <si>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</si>
  <si>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</si>
  <si>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</si>
  <si>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</si>
  <si>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</si>
  <si>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</si>
  <si>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</si>
  <si>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</si>
  <si>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</si>
  <si>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</si>
  <si>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</si>
  <si>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</si>
  <si>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</si>
  <si>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</si>
  <si>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</si>
  <si>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</si>
  <si>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</si>
  <si>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</si>
  <si>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</si>
  <si>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</si>
  <si>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</si>
  <si>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</si>
  <si>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</si>
  <si>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</si>
  <si>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</si>
  <si>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</si>
  <si>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</si>
  <si>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</si>
  <si>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</si>
  <si>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</si>
  <si>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</si>
  <si>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</si>
  <si>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</si>
  <si>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</si>
  <si>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</si>
  <si>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</si>
  <si>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</si>
  <si>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</si>
  <si>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</si>
  <si>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</si>
  <si>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</si>
  <si>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</si>
  <si>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</si>
  <si>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</si>
  <si>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</si>
  <si>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</si>
  <si>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</si>
  <si>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</si>
  <si>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</si>
  <si>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</si>
  <si>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</si>
  <si>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</si>
  <si>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</si>
  <si>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</si>
  <si>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</si>
  <si>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</si>
  <si>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</si>
  <si>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</si>
  <si>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</si>
  <si>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</si>
  <si>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</si>
  <si>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</si>
  <si>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</si>
  <si>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</si>
  <si>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</si>
  <si>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</si>
  <si>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</si>
  <si>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</si>
  <si>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</si>
  <si>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</si>
  <si>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</si>
  <si>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</si>
  <si>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</si>
  <si>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</si>
  <si>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</si>
  <si>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</si>
  <si>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</si>
  <si>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</si>
  <si>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</si>
  <si>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</si>
  <si>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</si>
  <si>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</si>
  <si>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</si>
  <si>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</si>
  <si>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</si>
  <si>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</si>
  <si>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</si>
  <si>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</si>
  <si>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</si>
  <si>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</si>
  <si>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</si>
  <si>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</si>
  <si>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</si>
  <si>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</si>
  <si>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</si>
  <si>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</si>
  <si>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</si>
  <si>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</si>
  <si>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</si>
  <si>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</si>
  <si>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</si>
  <si>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</si>
  <si>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</si>
  <si>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</si>
  <si>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</si>
  <si>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</si>
  <si>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</si>
  <si>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</si>
  <si>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</si>
  <si>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</si>
  <si>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</si>
  <si>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</si>
  <si>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</si>
  <si>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</si>
  <si>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</si>
  <si>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</si>
  <si>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</si>
  <si>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</si>
  <si>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</si>
  <si>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</si>
  <si>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</si>
  <si>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</si>
  <si>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</si>
  <si>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</si>
  <si>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</si>
  <si>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</si>
  <si>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</si>
  <si>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</si>
  <si>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</si>
  <si>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</si>
  <si>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</si>
  <si>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</si>
  <si>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</si>
  <si>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</si>
  <si>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</si>
  <si>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</si>
  <si>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</si>
  <si>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</si>
  <si>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</si>
  <si>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</si>
  <si>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</si>
  <si>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</si>
  <si>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</si>
  <si>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</si>
  <si>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</si>
  <si>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</si>
  <si>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</si>
  <si>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</si>
  <si>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</si>
  <si>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</si>
  <si>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</si>
  <si>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</si>
  <si>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</si>
  <si>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</si>
  <si>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</si>
  <si>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</si>
  <si>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</si>
  <si>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</si>
  <si>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</si>
  <si>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</si>
  <si>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</si>
  <si>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</si>
  <si>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</si>
  <si>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</si>
  <si>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</si>
  <si>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</si>
  <si>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</si>
  <si>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</si>
  <si>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</si>
  <si>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</si>
  <si>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</si>
  <si>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</si>
  <si>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</si>
  <si>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</si>
  <si>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</si>
  <si>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</si>
  <si>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</si>
  <si>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</si>
  <si>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</si>
  <si>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</si>
  <si>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</si>
  <si>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</si>
  <si>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</si>
  <si>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</si>
  <si>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</si>
  <si>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</si>
  <si>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</si>
  <si>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</si>
  <si>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</si>
  <si>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</si>
  <si>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</si>
  <si>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</si>
  <si>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</si>
  <si>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</si>
  <si>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</si>
  <si>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</si>
  <si>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</si>
  <si>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</si>
  <si>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</si>
  <si>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</si>
  <si>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</si>
  <si>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</si>
  <si>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</si>
  <si>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</si>
  <si>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</si>
  <si>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</si>
  <si>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</si>
  <si>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</si>
  <si>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</si>
  <si>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</si>
  <si>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</si>
  <si>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</si>
  <si>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</si>
  <si>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</si>
  <si>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</si>
  <si>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</si>
  <si>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</si>
  <si>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</si>
  <si>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</si>
  <si>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</si>
  <si>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</si>
  <si>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</si>
  <si>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</si>
  <si>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</si>
  <si>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</si>
  <si>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</si>
  <si>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</si>
  <si>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</si>
  <si>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</si>
  <si>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</si>
  <si>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</si>
  <si>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</si>
  <si>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</si>
  <si>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</si>
  <si>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</si>
  <si>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</si>
  <si>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</si>
  <si>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</si>
  <si>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</si>
  <si>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</si>
  <si>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</si>
  <si>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</si>
  <si>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</si>
  <si>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</si>
  <si>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</si>
  <si>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</si>
  <si>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</si>
  <si>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</si>
  <si>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</si>
  <si>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</si>
  <si>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</si>
  <si>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</si>
  <si>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</si>
  <si>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</si>
  <si>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</si>
  <si>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</si>
  <si>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</si>
  <si>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</si>
  <si>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</si>
  <si>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</si>
  <si>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</si>
  <si>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</si>
  <si>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</si>
  <si>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</si>
  <si>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</si>
  <si>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</si>
  <si>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</si>
  <si>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</si>
  <si>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</si>
  <si>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</si>
  <si>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</si>
  <si>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</si>
  <si>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</si>
  <si>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</si>
  <si>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</si>
  <si>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</si>
  <si>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</si>
  <si>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</si>
  <si>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</si>
  <si>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</si>
  <si>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</si>
  <si>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</si>
  <si>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</si>
  <si>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</si>
  <si>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</si>
  <si>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</si>
  <si>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</si>
  <si>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</si>
  <si>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</si>
  <si>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</si>
  <si>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</si>
  <si>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</si>
  <si>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</si>
  <si>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</si>
  <si>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</si>
  <si>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</si>
  <si>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</si>
  <si>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</si>
  <si>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</si>
  <si>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</si>
  <si>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</si>
  <si>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</si>
  <si>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</si>
  <si>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</si>
  <si>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</si>
  <si>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</si>
  <si>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</si>
  <si>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</si>
  <si>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</si>
  <si>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</si>
  <si>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</si>
  <si>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</si>
  <si>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</si>
  <si>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</si>
  <si>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</si>
  <si>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</si>
  <si>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</si>
  <si>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</si>
  <si>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</si>
  <si>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</si>
  <si>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</si>
  <si>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</si>
  <si>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</si>
  <si>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</si>
  <si>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</si>
  <si>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</si>
  <si>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</si>
  <si>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</si>
  <si>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</si>
  <si>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</si>
  <si>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</si>
  <si>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</si>
  <si>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</si>
  <si>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</si>
  <si>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</si>
  <si>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</si>
  <si>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</si>
  <si>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</si>
  <si>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</si>
  <si>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</si>
  <si>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</si>
  <si>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</si>
  <si>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</si>
  <si>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</si>
  <si>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</si>
  <si>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</si>
  <si>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</si>
  <si>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</si>
  <si>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</si>
  <si>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</si>
  <si>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</si>
  <si>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</si>
  <si>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</si>
  <si>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</si>
  <si>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</si>
  <si>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</si>
  <si>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</si>
  <si>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</si>
  <si>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</si>
  <si>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</si>
  <si>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</si>
  <si>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</si>
  <si>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</si>
  <si>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</si>
  <si>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</si>
  <si>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</si>
  <si>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</si>
  <si>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</si>
  <si>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</si>
  <si>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</si>
  <si>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</si>
  <si>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</si>
  <si>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</si>
  <si>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</si>
  <si>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</si>
  <si>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</si>
  <si>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</si>
  <si>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</si>
  <si>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</si>
  <si>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</si>
  <si>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</si>
  <si>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</si>
  <si>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</si>
  <si>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</si>
  <si>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</si>
  <si>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</si>
  <si>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</si>
  <si>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</si>
  <si>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</si>
  <si>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</si>
  <si>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</si>
  <si>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</si>
  <si>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</si>
  <si>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</si>
  <si>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</si>
  <si>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</si>
  <si>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</si>
  <si>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</si>
  <si>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</si>
  <si>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</si>
  <si>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</si>
  <si>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</si>
  <si>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</si>
  <si>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</si>
  <si>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</si>
  <si>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</si>
  <si>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</si>
  <si>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</si>
  <si>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</si>
  <si>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</si>
  <si>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</si>
  <si>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</si>
  <si>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</si>
  <si>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</si>
  <si>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</si>
  <si>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</si>
  <si>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</si>
  <si>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</si>
  <si>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</si>
  <si>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</si>
  <si>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</si>
  <si>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</si>
  <si>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</si>
  <si>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</si>
  <si>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</si>
  <si>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</si>
  <si>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</si>
  <si>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</si>
  <si>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</si>
  <si>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</si>
  <si>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</si>
  <si>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</si>
  <si>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</si>
  <si>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</si>
  <si>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</si>
  <si>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</si>
  <si>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</si>
  <si>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</si>
  <si>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</si>
  <si>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</si>
  <si>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</si>
  <si>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</si>
  <si>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</si>
  <si>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</si>
  <si>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</si>
  <si>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</si>
  <si>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</si>
  <si>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</si>
  <si>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</si>
  <si>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</si>
  <si>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</si>
  <si>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</si>
  <si>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</si>
  <si>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</si>
  <si>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</si>
  <si>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</si>
  <si>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</si>
  <si>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</si>
  <si>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</si>
  <si>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</si>
  <si>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</si>
  <si>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</si>
  <si>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</si>
  <si>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</si>
  <si>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</si>
  <si>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</si>
  <si>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</si>
  <si>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</si>
  <si>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</si>
  <si>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</si>
  <si>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</si>
  <si>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</si>
  <si>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</si>
  <si>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</si>
  <si>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</si>
  <si>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</si>
  <si>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</si>
  <si>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</si>
  <si>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</si>
  <si>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</si>
  <si>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</si>
  <si>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</si>
  <si>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</si>
  <si>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</si>
  <si>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</si>
  <si>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</si>
  <si>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</si>
  <si>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</si>
  <si>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</si>
  <si>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</si>
  <si>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</si>
  <si>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</si>
  <si>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</si>
  <si>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</si>
  <si>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</si>
  <si>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</si>
  <si>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</si>
  <si>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</si>
  <si>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</si>
  <si>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</si>
  <si>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</si>
  <si>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</si>
  <si>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</si>
  <si>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</si>
  <si>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</si>
  <si>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</si>
  <si>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</si>
  <si>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</si>
  <si>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</si>
  <si>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</si>
  <si>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</si>
  <si>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</si>
  <si>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</si>
  <si>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</si>
  <si>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</si>
  <si>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</si>
  <si>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</si>
  <si>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</si>
  <si>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</si>
  <si>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</si>
  <si>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</si>
  <si>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</si>
  <si>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</si>
  <si>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</si>
  <si>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</si>
  <si>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</si>
  <si>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</si>
  <si>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</si>
  <si>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</si>
  <si>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</si>
  <si>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</si>
  <si>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</si>
  <si>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</si>
  <si>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</si>
  <si>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</si>
  <si>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</si>
  <si>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</si>
  <si>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</si>
  <si>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</si>
  <si>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</si>
  <si>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</si>
  <si>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</si>
  <si>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</si>
  <si>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</si>
  <si>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</si>
  <si>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</si>
  <si>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</si>
  <si>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</si>
  <si>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</si>
  <si>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</si>
  <si>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</si>
  <si>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</si>
  <si>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</si>
  <si>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</si>
  <si>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</si>
  <si>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</si>
  <si>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</si>
  <si>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</si>
  <si>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</si>
  <si>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</si>
  <si>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</si>
  <si>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</si>
  <si>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</si>
  <si>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</si>
  <si>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</si>
  <si>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</si>
  <si>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</si>
  <si>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</si>
  <si>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</si>
  <si>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</si>
  <si>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</si>
  <si>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</si>
  <si>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</si>
  <si>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</si>
  <si>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</si>
  <si>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</si>
  <si>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</si>
  <si>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</si>
  <si>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</si>
  <si>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</si>
  <si>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</si>
  <si>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</si>
  <si>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</si>
  <si>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</si>
  <si>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</si>
  <si>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</si>
  <si>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</si>
  <si>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</si>
  <si>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</si>
  <si>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</si>
  <si>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</si>
  <si>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</si>
  <si>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</si>
  <si>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</si>
  <si>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</si>
  <si>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</si>
  <si>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</si>
  <si>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</si>
  <si>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</si>
  <si>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</si>
  <si>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</si>
  <si>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</si>
  <si>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</si>
  <si>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</si>
  <si>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</si>
  <si>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</si>
  <si>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</si>
  <si>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</si>
  <si>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</si>
  <si>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</si>
  <si>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</si>
  <si>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</si>
  <si>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</si>
  <si>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</si>
  <si>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</si>
  <si>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</si>
  <si>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</si>
  <si>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</si>
  <si>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</si>
  <si>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</si>
  <si>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</si>
  <si>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</si>
  <si>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</si>
  <si>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</si>
  <si>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</si>
  <si>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</si>
  <si>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</si>
  <si>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</si>
  <si>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</si>
  <si>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</si>
  <si>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</si>
  <si>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</si>
  <si>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</si>
  <si>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</si>
  <si>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</si>
  <si>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</si>
  <si>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</si>
  <si>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</si>
  <si>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</si>
  <si>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</si>
  <si>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</si>
  <si>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</si>
  <si>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</si>
  <si>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</si>
  <si>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</si>
  <si>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</si>
  <si>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</si>
  <si>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</si>
  <si>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</si>
  <si>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</si>
  <si>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</si>
  <si>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</si>
  <si>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</si>
  <si>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</si>
  <si>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</si>
  <si>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</si>
  <si>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</si>
  <si>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</si>
  <si>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</si>
  <si>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</si>
  <si>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</si>
  <si>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</si>
  <si>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</si>
  <si>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</si>
  <si>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</si>
  <si>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</si>
  <si>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</si>
  <si>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</si>
  <si>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</si>
  <si>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</si>
  <si>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</si>
  <si>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</si>
  <si>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</si>
  <si>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</si>
  <si>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</si>
  <si>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</si>
  <si>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</si>
  <si>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</si>
  <si>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</si>
  <si>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</si>
  <si>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</si>
  <si>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</si>
  <si>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</si>
  <si>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</si>
  <si>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</si>
  <si>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</si>
  <si>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</si>
  <si>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</si>
  <si>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</si>
  <si>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</si>
  <si>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</si>
  <si>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</si>
  <si>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</si>
  <si>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</si>
  <si>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</si>
  <si>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</si>
  <si>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</si>
  <si>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</si>
  <si>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</si>
  <si>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</si>
  <si>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</si>
  <si>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</si>
  <si>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</si>
  <si>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</si>
  <si>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</si>
  <si>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</si>
  <si>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</si>
  <si>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</si>
  <si>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</si>
  <si>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</si>
  <si>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</si>
  <si>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</si>
  <si>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</si>
  <si>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</si>
  <si>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</si>
  <si>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</si>
  <si>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</si>
  <si>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</si>
  <si>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</si>
  <si>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</si>
  <si>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</si>
  <si>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</si>
  <si>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</si>
  <si>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</si>
  <si>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</si>
  <si>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</si>
  <si>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</si>
  <si>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</si>
  <si>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</si>
  <si>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</si>
  <si>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</si>
  <si>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</si>
  <si>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</si>
  <si>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</si>
  <si>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</si>
  <si>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</si>
  <si>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</si>
  <si>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</si>
  <si>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</si>
  <si>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</si>
  <si>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</si>
  <si>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</si>
  <si>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</si>
  <si>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</si>
  <si>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</si>
  <si>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</si>
  <si>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</si>
  <si>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</si>
  <si>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</si>
  <si>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</si>
  <si>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</si>
  <si>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</si>
  <si>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</si>
  <si>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</si>
  <si>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</si>
  <si>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</si>
  <si>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</si>
  <si>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</si>
  <si>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</si>
  <si>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</si>
  <si>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</si>
  <si>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</si>
  <si>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</si>
  <si>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</si>
  <si>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</si>
  <si>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</si>
  <si>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</si>
  <si>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</si>
  <si>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</si>
  <si>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</si>
  <si>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</si>
  <si>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</si>
  <si>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</si>
  <si>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</si>
  <si>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</si>
  <si>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</si>
  <si>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</si>
  <si>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</si>
  <si>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</si>
  <si>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</si>
  <si>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</si>
  <si>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</si>
  <si>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</si>
  <si>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</si>
  <si>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</si>
  <si>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</si>
  <si>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</si>
  <si>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</si>
  <si>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</si>
  <si>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</si>
  <si>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</si>
  <si>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</si>
  <si>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</si>
  <si>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</si>
  <si>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</si>
  <si>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</si>
  <si>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</si>
  <si>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</si>
  <si>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</si>
  <si>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</si>
  <si>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</si>
  <si>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</si>
  <si>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</si>
  <si>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</si>
  <si>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</si>
  <si>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</si>
  <si>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</si>
  <si>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</si>
  <si>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</si>
  <si>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</si>
  <si>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</si>
  <si>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</si>
  <si>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</si>
  <si>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</si>
  <si>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</si>
  <si>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</si>
  <si>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</si>
  <si>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</si>
  <si>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</si>
  <si>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</si>
  <si>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</si>
  <si>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</si>
  <si>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</si>
  <si>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</si>
  <si>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</si>
  <si>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</si>
  <si>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</si>
  <si>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</si>
  <si>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</si>
  <si>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</si>
  <si>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</si>
  <si>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</si>
  <si>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</si>
  <si>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</si>
  <si>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</si>
  <si>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</si>
  <si>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</si>
  <si>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</si>
  <si>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</si>
  <si>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</si>
  <si>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</si>
  <si>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</si>
  <si>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</si>
  <si>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</si>
  <si>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</si>
  <si>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</si>
  <si>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</si>
  <si>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</si>
  <si>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</si>
  <si>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</si>
  <si>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</si>
  <si>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</si>
  <si>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</si>
  <si>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</si>
  <si>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</si>
  <si>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</si>
  <si>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</si>
  <si>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</si>
  <si>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</si>
  <si>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</si>
  <si>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</si>
  <si>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</si>
  <si>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</si>
  <si>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</si>
  <si>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</si>
  <si>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</si>
  <si>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</si>
  <si>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</si>
  <si>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</si>
  <si>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</si>
  <si>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</si>
  <si>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</si>
  <si>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</si>
  <si>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</si>
  <si>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</si>
  <si>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</si>
  <si>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</si>
  <si>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</si>
  <si>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</si>
  <si>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</si>
  <si>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</si>
  <si>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</si>
  <si>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</si>
  <si>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</si>
  <si>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</si>
  <si>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</si>
  <si>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</si>
  <si>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</si>
  <si>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</si>
  <si>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</si>
  <si>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</si>
  <si>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</si>
  <si>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</si>
  <si>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</si>
  <si>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</si>
  <si>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</si>
  <si>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</si>
  <si>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</si>
  <si>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</si>
  <si>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</si>
  <si>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</si>
  <si>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</si>
  <si>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</si>
  <si>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</si>
  <si>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</si>
  <si>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</si>
  <si>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</si>
  <si>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</si>
  <si>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</si>
  <si>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</si>
  <si>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</si>
  <si>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</si>
  <si>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</si>
  <si>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</si>
  <si>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</si>
  <si>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</si>
  <si>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</si>
  <si>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</si>
  <si>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</si>
  <si>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</si>
  <si>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</si>
  <si>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</si>
  <si>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</si>
  <si>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</si>
  <si>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</si>
  <si>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</si>
  <si>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</si>
  <si>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</si>
  <si>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</si>
  <si>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</si>
  <si>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</si>
  <si>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</si>
  <si>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</si>
  <si>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</si>
  <si>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</si>
  <si>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</si>
  <si>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</si>
  <si>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</si>
  <si>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</si>
  <si>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</si>
  <si>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</si>
  <si>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</si>
  <si>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</si>
  <si>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</si>
  <si>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</si>
  <si>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</si>
  <si>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</si>
  <si>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</si>
  <si>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</si>
  <si>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</si>
  <si>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</si>
  <si>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</si>
  <si>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</si>
  <si>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</si>
  <si>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</si>
  <si>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</si>
  <si>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</si>
  <si>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</si>
  <si>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</si>
  <si>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</si>
  <si>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</si>
  <si>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</si>
  <si>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</si>
  <si>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</si>
  <si>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</si>
  <si>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</si>
  <si>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</si>
  <si>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</si>
  <si>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</si>
  <si>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</si>
  <si>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</si>
  <si>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</si>
  <si>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</si>
  <si>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</si>
  <si>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</si>
  <si>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</si>
  <si>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</si>
  <si>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</si>
  <si>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</si>
  <si>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</si>
  <si>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</si>
  <si>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</si>
  <si>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</si>
  <si>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</si>
  <si>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</si>
  <si>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</si>
  <si>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</si>
  <si>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</si>
  <si>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</si>
  <si>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</si>
  <si>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</si>
  <si>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</si>
  <si>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</si>
  <si>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</si>
  <si>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</si>
  <si>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</si>
  <si>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</si>
  <si>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</si>
  <si>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</si>
  <si>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</si>
  <si>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</si>
  <si>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</si>
  <si>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</si>
  <si>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</si>
  <si>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</si>
  <si>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</si>
  <si>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</si>
  <si>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</si>
  <si>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</si>
  <si>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</si>
  <si>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</si>
  <si>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</si>
  <si>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</si>
  <si>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</si>
  <si>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</si>
  <si>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</si>
  <si>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</si>
  <si>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</si>
  <si>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</si>
  <si>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</si>
  <si>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</si>
  <si>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</si>
  <si>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</si>
  <si>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</si>
  <si>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</si>
  <si>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</si>
  <si>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</si>
  <si>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</si>
  <si>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</si>
  <si>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</si>
  <si>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</si>
  <si>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</si>
  <si>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</si>
  <si>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</si>
  <si>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</si>
  <si>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</si>
  <si>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</si>
  <si>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</si>
  <si>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</si>
  <si>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</si>
  <si>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</si>
  <si>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</si>
  <si>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</si>
  <si>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</si>
  <si>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</si>
  <si>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</si>
  <si>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</si>
  <si>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</si>
  <si>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</si>
  <si>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</si>
  <si>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</si>
  <si>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</si>
  <si>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</si>
  <si>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</si>
  <si>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</si>
  <si>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</si>
  <si>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</si>
  <si>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</si>
  <si>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</si>
  <si>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</si>
  <si>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</si>
  <si>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</si>
  <si>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</si>
  <si>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</si>
  <si>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</si>
  <si>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</si>
  <si>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</si>
  <si>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</si>
  <si>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</si>
  <si>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</si>
  <si>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</si>
  <si>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</si>
  <si>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</si>
  <si>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</si>
  <si>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</si>
  <si>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</si>
  <si>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</si>
  <si>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</si>
  <si>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</si>
  <si>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</si>
  <si>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</si>
  <si>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</si>
  <si>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</si>
  <si>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</si>
  <si>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</si>
  <si>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</si>
  <si>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</si>
  <si>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</si>
  <si>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</si>
  <si>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</si>
  <si>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</si>
  <si>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</si>
  <si>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</si>
  <si>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</si>
  <si>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</si>
  <si>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</si>
  <si>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</si>
  <si>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</si>
  <si>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</si>
  <si>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</si>
  <si>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</si>
  <si>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</si>
  <si>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</si>
  <si>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</si>
  <si>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</si>
  <si>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</si>
  <si>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</si>
  <si>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</si>
  <si>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</si>
  <si>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</si>
  <si>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</si>
  <si>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</si>
  <si>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</si>
  <si>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</si>
  <si>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</si>
  <si>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</si>
  <si>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</si>
  <si>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</si>
  <si>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</si>
  <si>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</si>
  <si>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</si>
  <si>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</si>
  <si>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</si>
  <si>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</si>
  <si>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</si>
  <si>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</si>
  <si>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</si>
  <si>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</si>
  <si>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</si>
  <si>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</si>
  <si>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</si>
  <si>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</si>
  <si>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</si>
  <si>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</si>
  <si>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</si>
  <si>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</si>
  <si>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</si>
  <si>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</si>
  <si>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</si>
  <si>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</si>
  <si>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</si>
  <si>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</si>
  <si>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</si>
  <si>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</si>
  <si>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</si>
  <si>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</si>
  <si>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</si>
  <si>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</si>
  <si>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</si>
  <si>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</si>
  <si>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</si>
  <si>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</si>
  <si>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</si>
  <si>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</si>
  <si>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</si>
  <si>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</si>
  <si>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</si>
  <si>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</si>
  <si>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</si>
  <si>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</si>
  <si>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</si>
  <si>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</si>
  <si>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</si>
  <si>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</si>
  <si>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</si>
  <si>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</si>
  <si>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</si>
  <si>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</si>
  <si>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</si>
  <si>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</si>
  <si>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</si>
  <si>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</si>
  <si>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</si>
  <si>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</si>
  <si>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</si>
  <si>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</si>
  <si>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</si>
  <si>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</si>
  <si>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</si>
  <si>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</si>
  <si>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</si>
  <si>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</si>
  <si>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</si>
  <si>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</si>
  <si>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</si>
  <si>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</si>
  <si>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</si>
  <si>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</si>
  <si>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</si>
  <si>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</si>
  <si>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</si>
  <si>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</si>
  <si>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</si>
  <si>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</si>
  <si>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</si>
  <si>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</si>
  <si>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</si>
  <si>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</si>
  <si>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</si>
  <si>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</si>
  <si>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</si>
  <si>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</si>
  <si>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</si>
  <si>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</si>
  <si>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</si>
  <si>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</si>
  <si>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</si>
  <si>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</si>
  <si>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</si>
  <si>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</si>
  <si>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</si>
  <si>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</si>
  <si>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</si>
  <si>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</si>
  <si>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</si>
  <si>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</si>
  <si>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</si>
  <si>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</si>
  <si>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</si>
  <si>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</si>
  <si>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</si>
  <si>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</si>
  <si>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</si>
  <si>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</si>
  <si>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</si>
  <si>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</si>
  <si>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</si>
  <si>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</si>
  <si>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</si>
  <si>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</si>
  <si>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</si>
  <si>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</si>
  <si>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</si>
  <si>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</si>
  <si>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</si>
  <si>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</si>
  <si>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</si>
  <si>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</si>
  <si>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</si>
  <si>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</si>
  <si>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</si>
  <si>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</si>
  <si>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</si>
  <si>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</si>
  <si>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</si>
  <si>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</si>
  <si>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</si>
  <si>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</si>
  <si>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</si>
  <si>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</si>
  <si>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</si>
  <si>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</si>
  <si>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</si>
  <si>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</si>
  <si>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</si>
  <si>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</si>
  <si>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</si>
  <si>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</si>
  <si>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</si>
  <si>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</si>
  <si>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</si>
  <si>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</si>
  <si>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</si>
  <si>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</si>
  <si>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</si>
  <si>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</si>
  <si>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</si>
  <si>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</si>
  <si>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</si>
  <si>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</si>
  <si>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</si>
  <si>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</si>
  <si>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</si>
  <si>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</si>
  <si>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</si>
  <si>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</si>
  <si>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</si>
  <si>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</si>
  <si>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</si>
  <si>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</si>
  <si>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</si>
  <si>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</si>
  <si>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</si>
  <si>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</si>
  <si>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</si>
  <si>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</si>
  <si>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</si>
  <si>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</si>
  <si>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</si>
  <si>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</si>
  <si>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</si>
  <si>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</si>
  <si>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</si>
  <si>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</si>
  <si>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</si>
  <si>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</si>
  <si>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</si>
  <si>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</si>
  <si>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</si>
  <si>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</si>
  <si>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</si>
  <si>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</si>
  <si>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</si>
  <si>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</si>
  <si>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</si>
  <si>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</si>
  <si>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</si>
  <si>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</si>
  <si>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</si>
  <si>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</si>
  <si>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</si>
  <si>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</si>
  <si>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</si>
  <si>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</si>
  <si>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</si>
  <si>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</si>
  <si>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</si>
  <si>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</si>
  <si>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</si>
  <si>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</si>
  <si>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</si>
  <si>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</si>
  <si>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</si>
  <si>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</si>
  <si>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</si>
  <si>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</si>
  <si>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</si>
  <si>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</si>
  <si>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</si>
  <si>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</si>
  <si>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</si>
  <si>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</si>
  <si>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</si>
  <si>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</si>
  <si>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</si>
  <si>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</si>
  <si>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</si>
  <si>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</si>
  <si>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</si>
  <si>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</si>
  <si>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</si>
  <si>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</si>
  <si>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</si>
  <si>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</si>
  <si>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</si>
  <si>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</si>
  <si>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</si>
  <si>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</si>
  <si>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</si>
  <si>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</si>
  <si>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</si>
  <si>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</si>
  <si>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</si>
  <si>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</si>
  <si>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</si>
  <si>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</si>
  <si>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</si>
  <si>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</si>
  <si>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</si>
  <si>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</si>
  <si>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</si>
  <si>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</si>
  <si>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</si>
  <si>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</si>
  <si>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</si>
  <si>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</si>
  <si>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</si>
  <si>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</si>
  <si>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</si>
  <si>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</si>
  <si>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</si>
  <si>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</si>
  <si>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</si>
  <si>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</si>
  <si>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</si>
  <si>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</si>
  <si>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</si>
  <si>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</si>
  <si>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</si>
  <si>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</si>
  <si>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</si>
  <si>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</si>
  <si>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</si>
  <si>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</si>
  <si>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</si>
  <si>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</si>
  <si>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</si>
  <si>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</si>
  <si>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</si>
  <si>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</si>
  <si>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</si>
  <si>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</si>
  <si>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</si>
  <si>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</si>
  <si>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</si>
  <si>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</si>
  <si>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</si>
  <si>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</si>
  <si>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</si>
  <si>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</si>
  <si>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</si>
  <si>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</si>
  <si>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</si>
  <si>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</si>
  <si>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</si>
  <si>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</si>
  <si>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</si>
  <si>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</si>
  <si>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</si>
  <si>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</si>
  <si>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</si>
  <si>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</si>
  <si>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</si>
  <si>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</si>
  <si>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</si>
  <si>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</si>
  <si>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</si>
  <si>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</si>
  <si>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</si>
  <si>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</si>
  <si>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</si>
  <si>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</si>
  <si>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</si>
  <si>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</si>
  <si>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</si>
  <si>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</si>
  <si>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</si>
  <si>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</si>
  <si>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</si>
  <si>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</si>
  <si>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</si>
  <si>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</si>
  <si>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</si>
  <si>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</si>
  <si>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</si>
  <si>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</si>
  <si>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</si>
  <si>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</si>
  <si>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</si>
  <si>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</si>
  <si>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</si>
  <si>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</si>
  <si>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</si>
  <si>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</si>
  <si>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</si>
  <si>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</si>
  <si>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</si>
  <si>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</si>
  <si>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</si>
  <si>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</si>
  <si>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</si>
  <si>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</si>
  <si>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</si>
  <si>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</si>
  <si>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</si>
  <si>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</si>
  <si>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</si>
  <si>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</si>
  <si>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</si>
  <si>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</si>
  <si>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</si>
  <si>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</si>
  <si>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</si>
  <si>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</si>
  <si>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</si>
  <si>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</si>
  <si>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</si>
  <si>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</si>
  <si>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</si>
  <si>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</si>
  <si>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</si>
  <si>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</si>
  <si>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</si>
  <si>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</si>
  <si>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</si>
  <si>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</si>
  <si>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</si>
  <si>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</si>
  <si>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</si>
  <si>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</si>
  <si>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</si>
  <si>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</si>
  <si>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</si>
  <si>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</si>
  <si>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</si>
  <si>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</si>
  <si>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</si>
  <si>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</si>
  <si>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</si>
  <si>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</si>
  <si>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</si>
  <si>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</si>
  <si>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</si>
  <si>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</si>
  <si>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</si>
  <si>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</si>
  <si>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</si>
  <si>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</si>
  <si>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</si>
  <si>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</si>
  <si>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</si>
  <si>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</si>
  <si>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</si>
  <si>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</si>
  <si>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</si>
  <si>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</si>
  <si>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</si>
  <si>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</si>
  <si>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</si>
  <si>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</si>
  <si>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</si>
  <si>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</si>
  <si>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</si>
  <si>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</si>
  <si>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</si>
  <si>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</si>
  <si>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</si>
  <si>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</si>
  <si>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</si>
  <si>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</si>
  <si>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</si>
  <si>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</si>
  <si>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</si>
  <si>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</si>
  <si>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</si>
  <si>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</si>
  <si>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</si>
  <si>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</si>
  <si>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</si>
  <si>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</si>
  <si>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</si>
  <si>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</si>
  <si>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</si>
  <si>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</si>
  <si>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</si>
  <si>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</si>
  <si>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</si>
  <si>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</si>
  <si>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</si>
  <si>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</si>
  <si>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</si>
  <si>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</si>
  <si>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</si>
  <si>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</si>
  <si>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</si>
  <si>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</si>
  <si>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</si>
  <si>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</si>
  <si>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</si>
  <si>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</si>
  <si>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</si>
  <si>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</si>
  <si>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</si>
  <si>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</si>
  <si>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</si>
  <si>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</si>
  <si>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</si>
  <si>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</si>
  <si>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</si>
  <si>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</si>
  <si>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</si>
  <si>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</si>
  <si>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</si>
  <si>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</si>
  <si>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</si>
  <si>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</si>
  <si>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</si>
  <si>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</si>
  <si>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</si>
  <si>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</si>
  <si>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</si>
  <si>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</si>
  <si>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</si>
  <si>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</si>
  <si>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</si>
  <si>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</si>
  <si>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</si>
  <si>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</si>
  <si>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</si>
  <si>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</si>
  <si>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</si>
  <si>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</si>
  <si>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</si>
  <si>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</si>
  <si>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</si>
  <si>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</si>
  <si>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</si>
  <si>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</si>
  <si>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</si>
  <si>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</si>
  <si>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</si>
  <si>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</si>
  <si>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</si>
  <si>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</si>
  <si>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</si>
  <si>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</si>
  <si>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</si>
  <si>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</si>
  <si>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</si>
  <si>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</si>
  <si>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</si>
  <si>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</si>
  <si>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</si>
  <si>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</si>
  <si>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</si>
  <si>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</si>
  <si>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</si>
  <si>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</si>
  <si>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</si>
  <si>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</si>
  <si>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</si>
  <si>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</si>
  <si>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</si>
  <si>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</si>
  <si>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</si>
  <si>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</si>
  <si>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</si>
  <si>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</si>
  <si>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</si>
  <si>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</si>
  <si>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</si>
  <si>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</si>
  <si>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</si>
  <si>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</si>
  <si>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</si>
  <si>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</si>
  <si>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</si>
  <si>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</si>
  <si>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</si>
  <si>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</si>
  <si>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</si>
  <si>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</si>
  <si>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</si>
  <si>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</si>
  <si>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</si>
  <si>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</si>
  <si>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</si>
  <si>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</si>
  <si>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</si>
  <si>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</si>
  <si>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</si>
  <si>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</si>
  <si>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</si>
  <si>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</si>
  <si>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</si>
  <si>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</si>
  <si>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</si>
  <si>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</si>
  <si>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</si>
  <si>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</si>
  <si>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</si>
  <si>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</si>
  <si>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</si>
  <si>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</si>
  <si>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</si>
  <si>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</si>
  <si>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</si>
  <si>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</si>
  <si>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</si>
  <si>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</si>
  <si>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</si>
  <si>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</si>
  <si>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</si>
  <si>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</si>
  <si>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</si>
  <si>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</si>
  <si>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</si>
  <si>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</si>
  <si>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</si>
  <si>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</si>
  <si>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</si>
  <si>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</si>
  <si>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</si>
  <si>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</si>
  <si>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</si>
  <si>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</si>
  <si>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</si>
  <si>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</si>
  <si>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</si>
  <si>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</si>
  <si>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</si>
  <si>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</si>
  <si>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</si>
  <si>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</si>
  <si>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</si>
  <si>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</si>
  <si>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</si>
  <si>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</si>
  <si>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</si>
  <si>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</si>
  <si>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</si>
  <si>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</si>
  <si>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</si>
  <si>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</si>
  <si>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</si>
  <si>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</si>
  <si>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</si>
  <si>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</si>
  <si>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</si>
  <si>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</si>
  <si>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</si>
  <si>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</si>
  <si>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</si>
  <si>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</si>
  <si>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</si>
  <si>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</si>
  <si>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</si>
  <si>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</si>
  <si>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</si>
  <si>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</si>
  <si>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</si>
  <si>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</si>
  <si>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</si>
  <si>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</si>
  <si>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</si>
  <si>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</si>
  <si>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</si>
  <si>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</si>
  <si>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</si>
  <si>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</si>
  <si>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</si>
  <si>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</si>
  <si>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</si>
  <si>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</si>
  <si>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</si>
  <si>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</si>
  <si>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</si>
  <si>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</si>
  <si>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</si>
  <si>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</si>
  <si>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</si>
  <si>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</si>
  <si>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</si>
  <si>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</si>
  <si>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</si>
  <si>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</si>
  <si>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</si>
  <si>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</si>
  <si>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</si>
  <si>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</si>
  <si>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</si>
  <si>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</si>
  <si>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</si>
  <si>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</si>
  <si>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</si>
  <si>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</si>
  <si>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</si>
  <si>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</si>
  <si>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</si>
  <si>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</si>
  <si>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</si>
  <si>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</si>
  <si>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</si>
  <si>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</si>
  <si>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</si>
  <si>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</si>
  <si>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</si>
  <si>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</si>
  <si>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</si>
  <si>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</si>
  <si>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</si>
  <si>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</si>
  <si>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</si>
  <si>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</si>
  <si>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</si>
  <si>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</si>
  <si>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</si>
  <si>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</si>
  <si>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</si>
  <si>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</si>
  <si>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</si>
  <si>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</si>
  <si>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</si>
  <si>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</si>
  <si>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</si>
  <si>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</si>
  <si>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</si>
  <si>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</si>
  <si>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</si>
  <si>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</si>
  <si>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</si>
  <si>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</si>
  <si>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</si>
  <si>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</si>
  <si>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</si>
  <si>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</si>
  <si>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</si>
  <si>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</si>
  <si>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</si>
  <si>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</si>
  <si>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</si>
  <si>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</si>
  <si>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</si>
  <si>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</si>
  <si>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</si>
  <si>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</si>
  <si>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</si>
  <si>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</si>
  <si>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</si>
  <si>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</si>
  <si>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</si>
  <si>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</si>
  <si>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</si>
  <si>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</si>
  <si>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</si>
  <si>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</si>
  <si>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</si>
  <si>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</si>
  <si>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</si>
  <si>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</si>
  <si>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</si>
  <si>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</si>
  <si>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</si>
  <si>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</si>
  <si>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</si>
  <si>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</si>
  <si>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</si>
  <si>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</si>
  <si>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</si>
  <si>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</si>
  <si>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</si>
  <si>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</si>
  <si>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</si>
  <si>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</si>
  <si>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</si>
  <si>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</si>
  <si>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</si>
  <si>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</si>
  <si>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</si>
  <si>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</si>
  <si>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</si>
  <si>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</si>
  <si>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</si>
  <si>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</si>
  <si>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</si>
  <si>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</si>
  <si>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</si>
  <si>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</si>
  <si>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</si>
  <si>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</si>
  <si>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</si>
  <si>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</si>
  <si>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</si>
  <si>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</si>
  <si>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</si>
  <si>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</si>
  <si>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</si>
  <si>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</si>
  <si>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</si>
  <si>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</si>
  <si>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</si>
  <si>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</si>
  <si>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</si>
  <si>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</si>
  <si>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</si>
  <si>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</si>
  <si>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</si>
  <si>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</si>
  <si>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</si>
  <si>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</si>
  <si>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</si>
  <si>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</si>
  <si>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</si>
  <si>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</si>
  <si>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</si>
  <si>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</si>
  <si>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</si>
  <si>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</si>
  <si>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</si>
  <si>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</si>
  <si>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</si>
  <si>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</si>
  <si>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</si>
  <si>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</si>
  <si>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</si>
  <si>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</si>
  <si>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</si>
  <si>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</si>
  <si>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</si>
  <si>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</si>
  <si>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</si>
  <si>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</si>
  <si>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</si>
  <si>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</si>
  <si>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</si>
  <si>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</si>
  <si>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</si>
  <si>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</si>
  <si>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</si>
  <si>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</si>
  <si>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</si>
  <si>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</si>
  <si>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</si>
  <si>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</si>
  <si>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</si>
  <si>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</si>
  <si>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</si>
  <si>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</si>
  <si>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</si>
  <si>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</si>
  <si>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</si>
  <si>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</si>
  <si>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</si>
  <si>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</si>
  <si>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</si>
  <si>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</si>
  <si>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</si>
  <si>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</si>
  <si>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</si>
  <si>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</si>
  <si>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</si>
  <si>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</si>
  <si>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</si>
  <si>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</si>
  <si>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</si>
  <si>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</si>
  <si>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</si>
  <si>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</si>
  <si>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</si>
  <si>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</si>
  <si>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</si>
  <si>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</si>
  <si>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</si>
  <si>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</si>
  <si>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</si>
  <si>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</si>
  <si>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</si>
  <si>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</si>
  <si>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</si>
  <si>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</si>
  <si>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</si>
  <si>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</si>
  <si>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</si>
  <si>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</si>
  <si>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</si>
  <si>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</si>
  <si>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</si>
  <si>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</si>
  <si>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</si>
  <si>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</si>
  <si>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</si>
  <si>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</si>
  <si>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</si>
  <si>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</si>
  <si>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</si>
  <si>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</si>
  <si>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</si>
  <si>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</si>
  <si>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</si>
  <si>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</si>
  <si>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</si>
  <si>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</si>
  <si>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</si>
  <si>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</si>
  <si>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</si>
  <si>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</si>
  <si>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</si>
  <si>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</si>
  <si>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</si>
  <si>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</si>
  <si>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</si>
  <si>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</si>
  <si>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</si>
  <si>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</si>
  <si>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</si>
  <si>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</si>
  <si>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</si>
  <si>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</si>
  <si>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</si>
  <si>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</si>
  <si>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</si>
  <si>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</si>
  <si>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</si>
  <si>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</si>
  <si>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</si>
  <si>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</si>
  <si>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</si>
  <si>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</si>
  <si>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</si>
  <si>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</si>
  <si>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</si>
  <si>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</si>
  <si>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</si>
  <si>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</si>
  <si>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</si>
  <si>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</si>
  <si>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</si>
  <si>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</si>
  <si>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</si>
  <si>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</si>
  <si>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</si>
  <si>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</si>
  <si>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</si>
  <si>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</si>
  <si>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</si>
  <si>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</si>
  <si>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</si>
  <si>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</si>
  <si>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</si>
  <si>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</si>
  <si>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</si>
  <si>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</si>
  <si>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</si>
  <si>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</si>
  <si>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</si>
  <si>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</si>
  <si>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</si>
  <si>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</si>
  <si>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</si>
  <si>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</si>
  <si>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</si>
  <si>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</si>
  <si>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</si>
  <si>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</si>
  <si>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</si>
  <si>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</si>
  <si>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</si>
  <si>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</si>
  <si>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</si>
  <si>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</si>
  <si>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</si>
  <si>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</si>
  <si>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</si>
  <si>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</si>
  <si>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</si>
  <si>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</si>
  <si>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</si>
  <si>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</si>
  <si>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</si>
  <si>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</si>
  <si>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</si>
  <si>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</si>
  <si>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</si>
  <si>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</si>
  <si>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</si>
  <si>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</si>
  <si>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</si>
  <si>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</si>
  <si>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</si>
  <si>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</si>
  <si>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</si>
  <si>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</si>
  <si>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</si>
  <si>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</si>
  <si>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</si>
  <si>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</si>
  <si>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</si>
  <si>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</si>
  <si>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</si>
  <si>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</si>
  <si>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</si>
  <si>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</si>
  <si>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</si>
  <si>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</si>
  <si>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</si>
  <si>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</si>
  <si>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</si>
  <si>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</si>
  <si>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</si>
  <si>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</si>
  <si>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</si>
  <si>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</si>
  <si>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</si>
  <si>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</si>
  <si>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</si>
  <si>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</si>
  <si>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</si>
  <si>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</si>
  <si>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</si>
  <si>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</si>
  <si>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</si>
  <si>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</si>
  <si>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</si>
  <si>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</si>
  <si>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</si>
  <si>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</si>
  <si>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</si>
  <si>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</si>
  <si>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</si>
  <si>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</si>
  <si>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</si>
  <si>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</si>
  <si>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</si>
  <si>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</si>
  <si>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</si>
  <si>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</si>
  <si>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</si>
  <si>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</si>
  <si>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</si>
  <si>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</si>
  <si>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</si>
  <si>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</si>
  <si>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</si>
  <si>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</si>
  <si>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</si>
  <si>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</si>
  <si>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</si>
  <si>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</si>
  <si>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</si>
  <si>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</si>
  <si>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</si>
  <si>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</si>
  <si>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</si>
  <si>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</si>
  <si>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</si>
  <si>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</si>
  <si>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</si>
  <si>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</si>
  <si>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</si>
  <si>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</si>
  <si>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</si>
  <si>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</si>
  <si>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</si>
  <si>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</si>
  <si>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</si>
  <si>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</si>
  <si>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</si>
  <si>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</si>
  <si>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</si>
  <si>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</si>
  <si>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</si>
  <si>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</si>
  <si>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</si>
  <si>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</si>
  <si>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</si>
  <si>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</si>
  <si>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</si>
  <si>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</si>
  <si>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</si>
  <si>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</si>
  <si>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</si>
  <si>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</si>
  <si>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</si>
  <si>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</si>
  <si>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</si>
  <si>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</si>
  <si>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</si>
  <si>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</si>
  <si>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</si>
  <si>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</si>
  <si>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</si>
  <si>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</si>
  <si>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</si>
  <si>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</si>
  <si>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</si>
  <si>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</si>
  <si>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</si>
  <si>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</si>
  <si>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</si>
  <si>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</si>
  <si>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</si>
  <si>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</si>
  <si>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</si>
  <si>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</si>
  <si>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</si>
  <si>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</si>
  <si>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</si>
  <si>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</si>
  <si>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</si>
  <si>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</si>
  <si>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</si>
  <si>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</si>
  <si>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</si>
  <si>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</si>
  <si>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</si>
  <si>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</si>
  <si>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</si>
  <si>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</si>
  <si>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</si>
  <si>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</si>
  <si>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</si>
  <si>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</si>
  <si>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</si>
  <si>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</si>
  <si>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</si>
  <si>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</si>
  <si>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</si>
  <si>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</si>
  <si>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</si>
  <si>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</si>
  <si>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</si>
  <si>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</si>
  <si>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</si>
  <si>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</si>
  <si>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</si>
  <si>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</si>
  <si>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</si>
  <si>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</si>
  <si>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</si>
  <si>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</si>
  <si>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</si>
  <si>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</si>
  <si>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</si>
  <si>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</si>
  <si>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</si>
  <si>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</si>
  <si>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</si>
  <si>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</si>
  <si>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</si>
  <si>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</si>
  <si>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</si>
  <si>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</si>
  <si>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</si>
  <si>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</si>
  <si>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</si>
  <si>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</si>
  <si>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</si>
  <si>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</si>
  <si>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</si>
  <si>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</si>
  <si>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</si>
  <si>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</si>
  <si>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</si>
  <si>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</si>
  <si>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</si>
  <si>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</si>
  <si>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</si>
  <si>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</si>
  <si>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</si>
  <si>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</si>
  <si>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</si>
  <si>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</si>
  <si>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</si>
  <si>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</si>
  <si>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</si>
  <si>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</si>
  <si>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</si>
  <si>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</si>
  <si>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</si>
  <si>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</si>
  <si>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</si>
  <si>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</si>
  <si>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</si>
  <si>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</si>
  <si>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</si>
  <si>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</si>
  <si>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</si>
  <si>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</si>
  <si>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</si>
  <si>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</si>
  <si>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</si>
  <si>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</si>
  <si>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</si>
  <si>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</si>
  <si>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</si>
  <si>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</si>
  <si>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</si>
  <si>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</si>
  <si>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</si>
  <si>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</si>
  <si>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</si>
  <si>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</si>
  <si>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</si>
  <si>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</si>
  <si>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</si>
  <si>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</si>
  <si>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</si>
  <si>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</si>
  <si>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</si>
  <si>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</si>
  <si>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</si>
  <si>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</si>
  <si>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</si>
  <si>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</si>
  <si>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</si>
  <si>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</si>
  <si>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</si>
  <si>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</si>
  <si>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</si>
  <si>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</si>
  <si>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</si>
  <si>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</si>
  <si>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</si>
  <si>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</si>
  <si>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</si>
  <si>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</si>
  <si>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</si>
  <si>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</si>
  <si>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</si>
  <si>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</si>
  <si>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</si>
  <si>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</si>
  <si>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</si>
  <si>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</si>
  <si>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</si>
  <si>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</si>
  <si>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</si>
  <si>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</si>
  <si>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</si>
  <si>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</si>
  <si>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</si>
  <si>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</si>
  <si>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</si>
  <si>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</si>
  <si>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</si>
  <si>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</si>
  <si>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</si>
  <si>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</si>
  <si>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</si>
  <si>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</si>
  <si>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</si>
  <si>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</si>
  <si>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</si>
  <si>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</si>
  <si>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</si>
  <si>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</si>
  <si>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</si>
  <si>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</si>
  <si>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</si>
  <si>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</si>
  <si>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</si>
  <si>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</si>
  <si>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</si>
  <si>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</si>
  <si>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</si>
  <si>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</si>
  <si>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</si>
  <si>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</si>
  <si>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</si>
  <si>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</si>
  <si>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</si>
  <si>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</si>
  <si>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</si>
  <si>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</si>
  <si>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</si>
  <si>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</si>
  <si>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</si>
  <si>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</si>
  <si>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</si>
  <si>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</si>
  <si>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</si>
  <si>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</si>
  <si>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</si>
  <si>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</si>
  <si>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</si>
  <si>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</si>
  <si>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</si>
  <si>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</si>
  <si>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</si>
  <si>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</si>
  <si>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</si>
  <si>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</si>
  <si>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</si>
  <si>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</si>
  <si>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</si>
  <si>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</si>
  <si>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</si>
  <si>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</si>
  <si>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</si>
  <si>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</si>
  <si>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</si>
  <si>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</si>
  <si>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</si>
  <si>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</si>
  <si>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</si>
  <si>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</si>
  <si>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</si>
  <si>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</si>
  <si>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</si>
  <si>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</si>
  <si>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</si>
  <si>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</si>
  <si>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</si>
  <si>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</si>
  <si>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</si>
  <si>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</si>
  <si>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</si>
  <si>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</si>
  <si>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</si>
  <si>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</si>
  <si>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</si>
  <si>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</si>
  <si>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</si>
  <si>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</si>
  <si>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</si>
  <si>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</si>
  <si>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</si>
  <si>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</si>
  <si>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</si>
  <si>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</si>
  <si>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</si>
  <si>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</si>
  <si>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</si>
  <si>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</si>
  <si>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</si>
  <si>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</si>
  <si>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</si>
  <si>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</si>
  <si>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</si>
  <si>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</si>
  <si>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</si>
  <si>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</si>
  <si>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</si>
  <si>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</si>
  <si>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</si>
  <si>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</si>
  <si>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</si>
  <si>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</si>
  <si>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</si>
  <si>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</si>
  <si>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</si>
  <si>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</si>
  <si>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</si>
  <si>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</si>
  <si>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</si>
  <si>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</si>
  <si>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</si>
  <si>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</si>
  <si>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</si>
  <si>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</si>
  <si>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</si>
  <si>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</si>
  <si>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</si>
  <si>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</si>
  <si>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</si>
  <si>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</si>
  <si>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</si>
  <si>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</si>
  <si>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</si>
  <si>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</si>
  <si>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</si>
  <si>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</si>
  <si>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</si>
  <si>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</si>
  <si>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</si>
  <si>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</si>
  <si>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</si>
  <si>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</si>
  <si>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</si>
  <si>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</si>
  <si>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</si>
  <si>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</si>
  <si>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</si>
  <si>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</si>
  <si>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</si>
  <si>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</si>
  <si>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</si>
  <si>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</si>
  <si>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</si>
  <si>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</si>
  <si>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</si>
  <si>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</si>
  <si>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</si>
  <si>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</si>
  <si>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</si>
  <si>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</si>
  <si>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</si>
  <si>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</si>
  <si>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</si>
  <si>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</si>
  <si>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</si>
  <si>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</si>
  <si>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</si>
  <si>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</si>
  <si>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</si>
  <si>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</si>
  <si>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</si>
  <si>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</si>
  <si>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</si>
  <si>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</si>
  <si>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</si>
  <si>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</si>
  <si>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</si>
  <si>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</si>
  <si>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</si>
  <si>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</si>
  <si>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</si>
  <si>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</si>
  <si>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</si>
  <si>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</si>
  <si>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</si>
  <si>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</si>
  <si>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</si>
  <si>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</si>
  <si>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</si>
  <si>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</si>
  <si>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</si>
  <si>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</si>
  <si>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</si>
  <si>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</si>
  <si>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</si>
  <si>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</si>
  <si>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</si>
  <si>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</si>
  <si>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</si>
  <si>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</si>
  <si>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</si>
  <si>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</si>
  <si>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</si>
  <si>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</si>
  <si>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</si>
  <si>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</si>
  <si>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</si>
  <si>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</si>
  <si>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</si>
  <si>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</si>
  <si>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</si>
  <si>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</si>
  <si>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</si>
  <si>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</si>
  <si>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</si>
  <si>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</si>
  <si>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</si>
  <si>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</si>
  <si>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</si>
  <si>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</si>
  <si>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</si>
  <si>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</si>
  <si>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</si>
  <si>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</si>
  <si>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</si>
  <si>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</si>
  <si>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</si>
  <si>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</si>
  <si>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</si>
  <si>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</si>
  <si>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</si>
  <si>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</si>
  <si>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</si>
  <si>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</si>
  <si>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</si>
  <si>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</si>
  <si>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</si>
  <si>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</si>
  <si>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</si>
  <si>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</si>
  <si>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</si>
  <si>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</si>
  <si>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</si>
  <si>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</si>
  <si>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</si>
  <si>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</si>
  <si>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</si>
  <si>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</si>
  <si>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</si>
  <si>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</si>
  <si>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</si>
  <si>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</si>
  <si>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</si>
  <si>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</si>
  <si>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</si>
  <si>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</si>
  <si>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</si>
  <si>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</si>
  <si>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</si>
  <si>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</si>
  <si>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</si>
  <si>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</si>
  <si>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</si>
  <si>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</si>
  <si>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</si>
  <si>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</si>
  <si>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</si>
  <si>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</si>
  <si>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</si>
  <si>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</si>
  <si>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</si>
  <si>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</si>
  <si>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</si>
  <si>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</si>
  <si>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</si>
  <si>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</si>
  <si>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</si>
  <si>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</si>
  <si>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</si>
  <si>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</si>
  <si>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</si>
  <si>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</si>
  <si>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</si>
  <si>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</si>
  <si>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</si>
  <si>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</si>
  <si>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</si>
  <si>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</si>
  <si>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</si>
  <si>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</si>
  <si>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</si>
  <si>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</si>
  <si>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</si>
  <si>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</si>
  <si>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</si>
  <si>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</si>
  <si>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</si>
  <si>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</si>
  <si>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</si>
  <si>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</si>
  <si>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</si>
  <si>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</si>
  <si>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</si>
  <si>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</si>
  <si>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</si>
  <si>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</si>
  <si>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</si>
  <si>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</si>
  <si>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</si>
  <si>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</si>
  <si>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</si>
  <si>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</si>
  <si>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</si>
  <si>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</si>
  <si>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</si>
  <si>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</si>
  <si>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</si>
  <si>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</si>
  <si>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</si>
  <si>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</si>
  <si>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</si>
  <si>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</si>
  <si>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</si>
  <si>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</si>
  <si>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</si>
  <si>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</si>
  <si>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</si>
  <si>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</si>
  <si>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</si>
  <si>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</si>
  <si>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</si>
  <si>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</si>
  <si>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</si>
  <si>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</si>
  <si>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</si>
  <si>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</si>
  <si>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</si>
  <si>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</si>
  <si>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</si>
  <si>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</si>
  <si>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</si>
  <si>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</si>
  <si>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</si>
  <si>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</si>
  <si>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</si>
  <si>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</si>
  <si>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</si>
  <si>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</si>
  <si>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</si>
  <si>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</si>
  <si>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</si>
  <si>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</si>
  <si>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</si>
  <si>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</si>
  <si>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</si>
  <si>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</si>
  <si>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</si>
  <si>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</si>
  <si>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</si>
  <si>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</si>
  <si>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</si>
  <si>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</si>
  <si>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</si>
  <si>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</si>
  <si>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</si>
  <si>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</si>
  <si>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</si>
  <si>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</si>
  <si>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</si>
  <si>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</si>
  <si>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</si>
  <si>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</si>
  <si>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</si>
  <si>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</si>
  <si>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</si>
  <si>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</si>
  <si>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</si>
  <si>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</si>
  <si>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</si>
  <si>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</si>
  <si>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</si>
  <si>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</si>
  <si>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</si>
  <si>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</si>
  <si>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</si>
  <si>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</si>
  <si>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</si>
  <si>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</si>
  <si>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</si>
  <si>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</si>
  <si>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</si>
  <si>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</si>
  <si>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</si>
  <si>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</si>
  <si>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</si>
  <si>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</si>
  <si>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</si>
  <si>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</si>
  <si>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</si>
  <si>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</si>
  <si>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</si>
  <si>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</si>
  <si>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</si>
  <si>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</si>
  <si>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</si>
  <si>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</si>
  <si>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</si>
  <si>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</si>
  <si>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</si>
  <si>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</si>
  <si>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</si>
  <si>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</si>
  <si>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</si>
  <si>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</si>
  <si>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</si>
  <si>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</si>
  <si>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</si>
  <si>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</si>
  <si>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</si>
  <si>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</si>
  <si>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</si>
  <si>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</si>
  <si>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</si>
  <si>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</si>
  <si>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</si>
  <si>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</si>
  <si>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</si>
  <si>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</si>
  <si>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</si>
  <si>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</si>
  <si>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</si>
  <si>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</si>
  <si>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</si>
  <si>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</si>
  <si>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</si>
  <si>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</si>
  <si>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</si>
  <si>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</si>
  <si>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</si>
  <si>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</si>
  <si>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</si>
  <si>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</si>
  <si>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</si>
  <si>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</si>
  <si>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</si>
  <si>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</si>
  <si>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</si>
  <si>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</si>
  <si>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</si>
  <si>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</si>
  <si>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</si>
  <si>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</si>
  <si>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</si>
  <si>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</si>
  <si>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</si>
  <si>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</si>
  <si>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</si>
  <si>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</si>
  <si>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</si>
  <si>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</si>
  <si>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</si>
  <si>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</si>
  <si>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</si>
  <si>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</si>
  <si>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</si>
  <si>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</si>
  <si>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</si>
  <si>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</si>
  <si>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</si>
  <si>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</si>
  <si>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</si>
  <si>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</si>
  <si>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</si>
  <si>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</si>
  <si>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</si>
  <si>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</si>
  <si>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</si>
  <si>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</si>
  <si>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</si>
  <si>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</si>
  <si>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</si>
  <si>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</si>
  <si>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</si>
  <si>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</si>
  <si>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</si>
  <si>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</si>
  <si>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</si>
  <si>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</si>
  <si>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</si>
  <si>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</si>
  <si>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</si>
  <si>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</si>
  <si>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</si>
  <si>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</si>
  <si>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</si>
  <si>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</si>
  <si>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</si>
  <si>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</si>
  <si>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</si>
  <si>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</si>
  <si>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</si>
  <si>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</si>
  <si>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</si>
  <si>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</si>
  <si>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</si>
  <si>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</si>
  <si>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</si>
  <si>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</si>
  <si>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</si>
  <si>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</si>
  <si>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</si>
  <si>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</si>
  <si>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</si>
  <si>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</si>
  <si>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</si>
  <si>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</si>
  <si>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</si>
  <si>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</si>
  <si>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</si>
  <si>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</si>
  <si>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</si>
  <si>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</si>
  <si>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</si>
  <si>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</si>
  <si>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</si>
  <si>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</si>
  <si>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</si>
  <si>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</si>
  <si>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</si>
  <si>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</si>
  <si>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</si>
  <si>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</si>
  <si>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</si>
  <si>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</si>
  <si>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</si>
  <si>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</si>
  <si>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</si>
  <si>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</si>
  <si>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</si>
  <si>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</si>
  <si>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</si>
  <si>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</si>
  <si>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</si>
  <si>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</si>
  <si>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</si>
  <si>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</si>
  <si>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</si>
  <si>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</si>
  <si>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</si>
  <si>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</si>
  <si>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</si>
  <si>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</si>
  <si>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</si>
  <si>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</si>
  <si>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</si>
  <si>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</si>
  <si>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</si>
  <si>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</si>
  <si>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</si>
  <si>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</si>
  <si>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</si>
  <si>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</si>
  <si>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</si>
  <si>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</si>
  <si>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</si>
  <si>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</si>
  <si>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</si>
  <si>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</si>
  <si>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</si>
  <si>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</si>
  <si>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</si>
  <si>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</si>
  <si>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</si>
  <si>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</si>
  <si>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</si>
  <si>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</si>
  <si>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</si>
  <si>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</si>
  <si>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</si>
  <si>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</si>
  <si>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</si>
  <si>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</si>
  <si>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</si>
  <si>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</si>
  <si>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</si>
  <si>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</si>
  <si>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</si>
  <si>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</si>
  <si>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</si>
  <si>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</si>
  <si>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</si>
  <si>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</si>
  <si>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</si>
  <si>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</si>
  <si>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</si>
  <si>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</si>
  <si>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</si>
  <si>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</si>
  <si>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</si>
  <si>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</si>
  <si>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</si>
  <si>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</si>
  <si>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</si>
  <si>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</si>
  <si>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</si>
  <si>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</si>
  <si>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</si>
  <si>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</si>
  <si>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</si>
  <si>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</si>
  <si>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</si>
  <si>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</si>
  <si>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</si>
  <si>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</si>
  <si>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</si>
  <si>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</si>
  <si>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</si>
  <si>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</si>
  <si>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</si>
  <si>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</si>
  <si>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</si>
  <si>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</si>
  <si>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</si>
  <si>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</si>
  <si>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</si>
  <si>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</si>
  <si>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</si>
  <si>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</si>
  <si>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</si>
  <si>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</si>
  <si>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</si>
  <si>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</si>
  <si>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</si>
  <si>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</si>
  <si>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</si>
  <si>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</si>
  <si>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</si>
  <si>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</si>
  <si>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</si>
  <si>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</si>
  <si>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</si>
  <si>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</si>
  <si>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</si>
  <si>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</si>
  <si>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</si>
  <si>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</si>
  <si>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</si>
  <si>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</si>
  <si>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</si>
  <si>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</si>
  <si>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</si>
  <si>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</si>
  <si>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</si>
  <si>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</si>
  <si>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</si>
  <si>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</si>
  <si>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</si>
  <si>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</si>
  <si>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</si>
  <si>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</si>
  <si>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</si>
  <si>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</si>
  <si>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</si>
  <si>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</si>
  <si>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</si>
  <si>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</si>
  <si>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</si>
  <si>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</si>
  <si>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</si>
  <si>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</si>
  <si>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</si>
  <si>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</si>
  <si>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</si>
  <si>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</si>
  <si>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</si>
  <si>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</si>
  <si>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</si>
  <si>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</si>
  <si>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</si>
  <si>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</si>
  <si>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</si>
  <si>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</si>
  <si>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</si>
  <si>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</si>
  <si>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</si>
  <si>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</si>
  <si>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</si>
  <si>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</si>
  <si>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</si>
  <si>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</si>
  <si>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</si>
  <si>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</si>
  <si>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</si>
  <si>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</si>
  <si>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</si>
  <si>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</si>
  <si>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</si>
  <si>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</si>
  <si>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</si>
  <si>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</si>
  <si>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</si>
  <si>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</si>
  <si>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</si>
  <si>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</si>
  <si>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</si>
  <si>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</si>
  <si>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</si>
  <si>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</si>
  <si>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</si>
  <si>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</si>
  <si>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</si>
  <si>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</si>
  <si>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</si>
  <si>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</si>
  <si>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</si>
  <si>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</si>
  <si>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</si>
  <si>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</si>
  <si>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</si>
  <si>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</si>
  <si>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</si>
  <si>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</si>
  <si>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</si>
  <si>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</si>
  <si>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</si>
  <si>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</si>
  <si>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</si>
  <si>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</si>
  <si>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</si>
  <si>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</si>
  <si>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</si>
  <si>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</si>
  <si>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</si>
  <si>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</si>
  <si>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</si>
  <si>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</si>
  <si>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</si>
  <si>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</si>
  <si>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</si>
  <si>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</si>
  <si>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</si>
  <si>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</si>
  <si>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</si>
  <si>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</si>
  <si>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</si>
  <si>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</si>
  <si>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</si>
  <si>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</si>
  <si>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</si>
  <si>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</si>
  <si>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</si>
  <si>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</si>
  <si>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</si>
  <si>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</si>
  <si>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</si>
  <si>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</si>
  <si>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</si>
  <si>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</si>
  <si>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</si>
  <si>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</si>
  <si>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</si>
  <si>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</si>
  <si>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</si>
  <si>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</si>
  <si>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</si>
  <si>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</si>
  <si>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</si>
  <si>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</si>
  <si>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</si>
  <si>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</si>
  <si>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</si>
  <si>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</si>
  <si>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</si>
  <si>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</si>
  <si>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</si>
  <si>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</si>
  <si>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</si>
  <si>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</si>
  <si>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</si>
  <si>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</si>
  <si>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</si>
  <si>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</si>
  <si>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</si>
  <si>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</si>
  <si>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</si>
  <si>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</si>
  <si>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</si>
  <si>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</si>
  <si>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</si>
  <si>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</si>
  <si>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</si>
  <si>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</si>
  <si>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</si>
  <si>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</si>
  <si>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</si>
  <si>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</si>
  <si>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</si>
  <si>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</si>
  <si>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</si>
  <si>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</si>
  <si>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</si>
  <si>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</si>
  <si>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</si>
  <si>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</si>
  <si>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</si>
  <si>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</si>
  <si>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</si>
  <si>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</si>
  <si>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</si>
  <si>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</si>
  <si>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</si>
  <si>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</si>
  <si>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</si>
  <si>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</si>
  <si>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</si>
  <si>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</si>
  <si>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</si>
  <si>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</si>
  <si>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</si>
  <si>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</si>
  <si>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</si>
  <si>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</si>
  <si>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</si>
  <si>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</si>
  <si>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</si>
  <si>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</si>
  <si>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</si>
  <si>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</si>
  <si>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</si>
  <si>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</si>
  <si>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</si>
  <si>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</si>
  <si>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</si>
  <si>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</si>
  <si>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</si>
  <si>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</si>
  <si>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</si>
  <si>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</si>
  <si>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</si>
  <si>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</si>
  <si>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</si>
  <si>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</si>
  <si>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</si>
  <si>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</si>
  <si>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</si>
  <si>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</si>
  <si>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</si>
  <si>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</si>
  <si>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</si>
  <si>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</si>
  <si>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</si>
  <si>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</si>
  <si>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</si>
  <si>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</si>
  <si>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</si>
  <si>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</si>
  <si>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</si>
  <si>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</si>
  <si>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</si>
  <si>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</si>
  <si>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</si>
  <si>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</si>
  <si>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</si>
  <si>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</si>
  <si>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</si>
  <si>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</si>
  <si>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</si>
  <si>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</si>
  <si>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</si>
  <si>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</si>
  <si>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</si>
  <si>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</si>
  <si>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</si>
  <si>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</si>
  <si>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</si>
  <si>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</si>
  <si>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</si>
  <si>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</si>
  <si>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</si>
  <si>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</si>
  <si>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</si>
  <si>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</si>
  <si>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</si>
  <si>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</si>
  <si>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</si>
  <si>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</si>
  <si>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</si>
  <si>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</si>
  <si>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</si>
  <si>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</si>
  <si>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</si>
  <si>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</si>
  <si>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</si>
  <si>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</si>
  <si>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</si>
  <si>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</si>
  <si>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</si>
  <si>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</si>
  <si>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</si>
  <si>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</si>
  <si>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</si>
  <si>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</si>
  <si>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</si>
  <si>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</si>
  <si>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</si>
  <si>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</si>
  <si>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</si>
  <si>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</si>
  <si>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</si>
  <si>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</si>
  <si>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</si>
  <si>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</si>
  <si>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</si>
  <si>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</si>
  <si>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</si>
  <si>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</si>
  <si>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</si>
  <si>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</si>
  <si>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</si>
  <si>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</si>
  <si>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</si>
  <si>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</si>
  <si>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</si>
  <si>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</si>
  <si>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</si>
  <si>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</si>
  <si>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</si>
  <si>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</si>
  <si>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</si>
  <si>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</si>
  <si>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</si>
  <si>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</si>
  <si>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</si>
  <si>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</si>
  <si>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</si>
  <si>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</si>
  <si>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</si>
  <si>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</si>
  <si>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</si>
  <si>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</si>
  <si>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</si>
  <si>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</si>
  <si>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</si>
  <si>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</si>
  <si>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</si>
  <si>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</si>
  <si>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</si>
  <si>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</si>
  <si>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</si>
  <si>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</si>
  <si>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</si>
  <si>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</si>
  <si>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</si>
  <si>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</si>
  <si>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</si>
  <si>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</si>
  <si>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</si>
  <si>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</si>
  <si>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</si>
  <si>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</si>
  <si>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</si>
  <si>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</si>
  <si>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</si>
  <si>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</si>
  <si>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</si>
  <si>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</si>
  <si>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</si>
  <si>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</si>
  <si>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</si>
  <si>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</si>
  <si>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</si>
  <si>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</si>
  <si>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</si>
  <si>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</si>
  <si>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</si>
  <si>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</si>
  <si>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</si>
  <si>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</si>
  <si>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</si>
  <si>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</si>
  <si>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</si>
  <si>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</si>
  <si>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</si>
  <si>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</si>
  <si>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</si>
  <si>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</si>
  <si>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</si>
  <si>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</si>
  <si>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</si>
  <si>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</si>
  <si>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</si>
  <si>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</si>
  <si>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</si>
  <si>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</si>
  <si>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</si>
  <si>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</si>
  <si>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</si>
  <si>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</si>
  <si>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</si>
  <si>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</si>
  <si>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</si>
  <si>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</si>
  <si>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</si>
  <si>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</si>
  <si>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</si>
  <si>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</si>
  <si>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</si>
  <si>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</si>
  <si>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</si>
  <si>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</si>
  <si>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</si>
  <si>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</si>
  <si>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</si>
  <si>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</si>
  <si>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</si>
  <si>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</si>
  <si>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</si>
  <si>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</si>
  <si>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</si>
  <si>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</si>
  <si>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</si>
  <si>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</si>
  <si>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</si>
  <si>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</si>
  <si>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</si>
  <si>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</si>
  <si>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</si>
  <si>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</si>
  <si>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</si>
  <si>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</si>
  <si>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</si>
  <si>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</si>
  <si>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</si>
  <si>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</si>
  <si>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</si>
  <si>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</si>
  <si>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</si>
  <si>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</si>
  <si>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</si>
  <si>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</si>
  <si>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</si>
  <si>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</si>
  <si>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</si>
  <si>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</si>
  <si>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</si>
  <si>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</si>
  <si>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</si>
  <si>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</si>
  <si>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</si>
  <si>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</si>
  <si>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</si>
  <si>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</si>
  <si>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</si>
  <si>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</si>
  <si>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</si>
  <si>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</si>
  <si>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</si>
  <si>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</si>
  <si>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</si>
  <si>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</si>
  <si>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</si>
  <si>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</si>
  <si>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</si>
  <si>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</si>
  <si>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</si>
  <si>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</si>
  <si>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</si>
  <si>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</si>
  <si>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</si>
  <si>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</si>
  <si>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</si>
  <si>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</si>
  <si>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</si>
  <si>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</si>
  <si>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</si>
  <si>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</si>
  <si>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</si>
  <si>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</si>
  <si>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</si>
  <si>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</si>
  <si>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</si>
  <si>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</si>
  <si>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</si>
  <si>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</si>
  <si>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</si>
  <si>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</si>
  <si>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</si>
  <si>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</si>
  <si>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</si>
  <si>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</si>
  <si>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</si>
  <si>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</si>
  <si>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</si>
  <si>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</si>
  <si>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</si>
  <si>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</si>
  <si>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</si>
  <si>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</si>
  <si>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</si>
  <si>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</si>
  <si>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</si>
  <si>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</si>
  <si>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</si>
  <si>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</si>
  <si>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</si>
  <si>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</si>
  <si>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</si>
  <si>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</si>
  <si>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</si>
  <si>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</si>
  <si>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</si>
  <si>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</si>
  <si>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</si>
  <si>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</si>
  <si>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</si>
  <si>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</si>
  <si>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</si>
  <si>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</si>
  <si>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</si>
  <si>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</si>
  <si>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</si>
  <si>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</si>
  <si>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</si>
  <si>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</si>
  <si>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</si>
  <si>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</si>
  <si>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</si>
  <si>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</si>
  <si>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</si>
  <si>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</si>
  <si>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</si>
  <si>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</si>
  <si>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</si>
  <si>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</si>
  <si>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</si>
  <si>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</si>
  <si>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</si>
  <si>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</si>
  <si>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</si>
  <si>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</si>
  <si>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</si>
  <si>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</si>
  <si>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</si>
  <si>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</si>
  <si>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</si>
  <si>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</si>
  <si>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</si>
  <si>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</si>
  <si>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</si>
  <si>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</si>
  <si>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</si>
  <si>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</si>
  <si>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</si>
  <si>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</si>
  <si>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</si>
  <si>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</si>
  <si>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</si>
  <si>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</si>
  <si>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</si>
  <si>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</si>
  <si>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</si>
  <si>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</si>
  <si>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</si>
  <si>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</si>
  <si>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</si>
  <si>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</si>
  <si>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</si>
  <si>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</si>
  <si>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</si>
  <si>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</si>
  <si>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</si>
  <si>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</si>
  <si>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</si>
  <si>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</si>
  <si>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</si>
  <si>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</si>
  <si>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</si>
  <si>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</si>
  <si>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</si>
  <si>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</si>
  <si>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</si>
  <si>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</si>
  <si>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</si>
  <si>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</si>
  <si>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</si>
  <si>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</si>
  <si>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</si>
  <si>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</si>
  <si>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</si>
  <si>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</si>
  <si>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</si>
  <si>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</si>
  <si>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</si>
  <si>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</si>
  <si>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</si>
  <si>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</si>
  <si>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</si>
  <si>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</si>
  <si>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</si>
  <si>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</si>
  <si>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</si>
  <si>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</si>
  <si>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</si>
  <si>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</si>
  <si>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</si>
  <si>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</si>
  <si>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</si>
  <si>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</si>
  <si>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</si>
  <si>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</si>
  <si>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</si>
  <si>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</si>
  <si>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</si>
  <si>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</si>
  <si>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</si>
  <si>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</si>
  <si>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</si>
  <si>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</si>
  <si>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</si>
  <si>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</si>
  <si>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</si>
  <si>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</si>
  <si>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</si>
  <si>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</si>
  <si>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</si>
  <si>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</si>
  <si>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</si>
  <si>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</si>
  <si>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</si>
  <si>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</si>
  <si>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</si>
  <si>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</si>
  <si>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</si>
  <si>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</si>
  <si>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</si>
  <si>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</si>
  <si>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</si>
  <si>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</si>
  <si>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</si>
  <si>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</si>
  <si>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</si>
  <si>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</si>
  <si>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</si>
  <si>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</si>
  <si>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</si>
  <si>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</si>
  <si>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</si>
  <si>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</si>
  <si>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</si>
  <si>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</si>
  <si>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</si>
  <si>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</si>
  <si>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</si>
  <si>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</si>
  <si>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</si>
  <si>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</si>
  <si>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</si>
  <si>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</si>
  <si>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</si>
  <si>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</si>
  <si>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</si>
  <si>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</si>
  <si>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</si>
  <si>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</si>
  <si>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</si>
  <si>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</si>
  <si>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</si>
  <si>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</si>
  <si>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</si>
  <si>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</si>
  <si>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</si>
  <si>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</si>
  <si>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</si>
  <si>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</si>
  <si>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</si>
  <si>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</si>
  <si>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</si>
  <si>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</si>
  <si>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</si>
  <si>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</si>
  <si>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</si>
  <si>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</si>
  <si>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</si>
  <si>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</si>
  <si>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</si>
  <si>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</si>
  <si>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</si>
  <si>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</si>
  <si>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</si>
  <si>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</si>
  <si>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</si>
  <si>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</si>
  <si>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</si>
  <si>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</si>
  <si>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</si>
  <si>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</si>
  <si>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</si>
  <si>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</si>
  <si>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</si>
  <si>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</si>
  <si>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</si>
  <si>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</si>
  <si>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</si>
  <si>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</si>
  <si>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</si>
  <si>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</si>
  <si>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</si>
  <si>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</si>
  <si>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</si>
  <si>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</si>
  <si>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</si>
  <si>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</si>
  <si>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</si>
  <si>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</si>
  <si>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</si>
  <si>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</si>
  <si>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</si>
  <si>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</si>
  <si>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</si>
  <si>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</si>
  <si>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</si>
  <si>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</si>
  <si>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</si>
  <si>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</si>
  <si>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</si>
  <si>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</si>
  <si>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</si>
  <si>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</si>
  <si>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</si>
  <si>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</si>
  <si>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</si>
  <si>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</si>
  <si>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</si>
  <si>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</si>
  <si>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</si>
  <si>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</si>
  <si>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</si>
  <si>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</si>
  <si>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</si>
  <si>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</si>
  <si>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</si>
  <si>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</si>
  <si>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</si>
  <si>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</si>
  <si>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</si>
  <si>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</si>
  <si>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</si>
  <si>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</si>
  <si>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</si>
  <si>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</si>
  <si>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</si>
  <si>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</si>
  <si>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</si>
  <si>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</si>
  <si>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</si>
  <si>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</si>
  <si>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</si>
  <si>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</si>
  <si>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</si>
  <si>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</si>
  <si>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</si>
  <si>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</si>
  <si>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</si>
  <si>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</si>
  <si>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</si>
  <si>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</si>
  <si>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</si>
  <si>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</si>
  <si>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</si>
  <si>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</si>
  <si>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</si>
  <si>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</si>
  <si>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</si>
  <si>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</si>
  <si>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</si>
  <si>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</si>
  <si>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</si>
  <si>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</si>
  <si>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</si>
  <si>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</si>
  <si>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</si>
  <si>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</si>
  <si>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</si>
  <si>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</si>
  <si>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</si>
  <si>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</si>
  <si>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</si>
  <si>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</si>
  <si>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</si>
  <si>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</si>
  <si>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</si>
  <si>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</si>
  <si>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</si>
  <si>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</si>
  <si>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</si>
  <si>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</si>
  <si>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</si>
  <si>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</si>
  <si>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</si>
  <si>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</si>
  <si>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</si>
  <si>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</si>
  <si>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</si>
  <si>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</si>
  <si>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</si>
  <si>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</si>
  <si>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</si>
  <si>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</si>
  <si>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</si>
  <si>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</si>
  <si>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</si>
  <si>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</si>
  <si>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</si>
  <si>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</si>
  <si>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</si>
  <si>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</si>
  <si>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</si>
  <si>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</si>
  <si>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</si>
  <si>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</si>
  <si>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</si>
  <si>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</si>
  <si>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</si>
  <si>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</si>
  <si>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</si>
  <si>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</si>
  <si>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</si>
  <si>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</si>
  <si>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</si>
  <si>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</si>
  <si>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</si>
  <si>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</si>
  <si>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</si>
  <si>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</si>
  <si>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</si>
  <si>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</si>
  <si>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</si>
  <si>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</si>
  <si>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</si>
  <si>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</si>
  <si>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</si>
  <si>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</si>
  <si>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</si>
  <si>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</si>
  <si>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</si>
  <si>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</si>
  <si>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</si>
  <si>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</si>
  <si>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</si>
  <si>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</si>
  <si>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</si>
  <si>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</si>
  <si>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</si>
  <si>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</si>
  <si>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</si>
  <si>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</si>
  <si>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</si>
  <si>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</si>
  <si>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</si>
  <si>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</si>
  <si>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</si>
  <si>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</si>
  <si>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</si>
  <si>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</si>
  <si>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</si>
  <si>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</si>
  <si>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</si>
  <si>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</si>
  <si>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</si>
  <si>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</si>
  <si>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</si>
  <si>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</si>
  <si>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</si>
  <si>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</si>
  <si>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</si>
  <si>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</si>
  <si>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</si>
  <si>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</si>
  <si>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</si>
  <si>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</si>
  <si>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</si>
  <si>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</si>
  <si>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</si>
  <si>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</si>
  <si>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</si>
  <si>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</si>
  <si>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</si>
  <si>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</si>
  <si>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</si>
  <si>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</si>
  <si>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</si>
  <si>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</si>
  <si>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</si>
  <si>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</si>
  <si>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</si>
  <si>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</si>
  <si>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</si>
  <si>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</si>
  <si>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</si>
  <si>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</si>
  <si>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</si>
  <si>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</si>
  <si>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</si>
  <si>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</si>
  <si>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</si>
  <si>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</si>
  <si>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</si>
  <si>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</si>
  <si>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</si>
  <si>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</si>
  <si>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</si>
  <si>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</si>
  <si>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</si>
  <si>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</si>
  <si>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</si>
  <si>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</si>
  <si>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</si>
  <si>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</si>
  <si>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</si>
  <si>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</si>
  <si>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</si>
  <si>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</si>
  <si>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</si>
  <si>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</si>
  <si>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</si>
  <si>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</si>
  <si>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</si>
  <si>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</si>
  <si>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</si>
  <si>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</si>
  <si>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</si>
  <si>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</si>
  <si>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</si>
  <si>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</si>
  <si>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</si>
  <si>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</si>
  <si>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</si>
  <si>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</si>
  <si>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</si>
  <si>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</si>
  <si>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</si>
  <si>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</si>
  <si>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</si>
  <si>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</si>
  <si>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</si>
  <si>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</si>
  <si>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</si>
  <si>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</si>
  <si>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</si>
  <si>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</si>
  <si>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</si>
  <si>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</si>
  <si>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</si>
  <si>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</si>
  <si>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</si>
  <si>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</si>
  <si>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</si>
  <si>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</si>
  <si>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</si>
  <si>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</si>
  <si>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</si>
  <si>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</si>
  <si>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</si>
  <si>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</si>
  <si>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</si>
  <si>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</si>
  <si>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</si>
  <si>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</si>
  <si>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</si>
  <si>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</si>
  <si>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</si>
  <si>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</si>
  <si>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</si>
  <si>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</si>
  <si>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</si>
  <si>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</si>
  <si>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</si>
  <si>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</si>
  <si>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</si>
  <si>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</si>
  <si>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</si>
  <si>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</si>
  <si>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</si>
  <si>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</si>
  <si>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</si>
  <si>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</si>
  <si>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</si>
  <si>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</si>
  <si>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</si>
  <si>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</si>
  <si>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</si>
  <si>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</si>
  <si>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</si>
  <si>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</si>
  <si>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</si>
  <si>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</si>
  <si>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</si>
  <si>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</si>
  <si>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</si>
  <si>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</si>
  <si>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</si>
  <si>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</si>
  <si>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</si>
  <si>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</si>
  <si>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</si>
  <si>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</si>
  <si>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</si>
  <si>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</si>
  <si>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</si>
  <si>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</si>
  <si>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</si>
  <si>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</si>
  <si>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</si>
  <si>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</si>
  <si>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</si>
  <si>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</si>
  <si>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</si>
  <si>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</si>
  <si>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</si>
  <si>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</si>
  <si>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</si>
  <si>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</si>
  <si>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</si>
  <si>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</si>
  <si>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</si>
  <si>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</si>
  <si>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</si>
  <si>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</si>
  <si>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</si>
  <si>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</si>
  <si>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</si>
  <si>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</si>
  <si>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</si>
  <si>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</si>
  <si>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</si>
  <si>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</si>
  <si>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</si>
  <si>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</si>
  <si>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</si>
  <si>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</si>
  <si>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</si>
  <si>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</si>
  <si>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</si>
  <si>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</si>
  <si>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</si>
  <si>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</si>
  <si>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</si>
  <si>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</si>
  <si>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</si>
  <si>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</si>
  <si>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</si>
  <si>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</si>
  <si>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</si>
  <si>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</si>
  <si>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</si>
  <si>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</si>
  <si>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</si>
  <si>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</si>
  <si>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</si>
  <si>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</si>
  <si>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</si>
  <si>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</si>
  <si>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</si>
  <si>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</si>
  <si>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</si>
  <si>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</si>
  <si>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</si>
  <si>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</si>
  <si>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</si>
  <si>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</si>
  <si>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</si>
  <si>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</si>
  <si>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</si>
  <si>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</si>
  <si>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</si>
  <si>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</si>
  <si>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</si>
  <si>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</si>
  <si>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</si>
  <si>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</si>
  <si>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</si>
  <si>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</si>
  <si>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</si>
  <si>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</si>
  <si>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</si>
  <si>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</si>
  <si>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</si>
  <si>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</si>
  <si>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</si>
  <si>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</si>
  <si>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</si>
  <si>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</si>
  <si>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</si>
  <si>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</si>
  <si>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</si>
  <si>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</si>
  <si>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</si>
  <si>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</si>
  <si>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</si>
  <si>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</si>
  <si>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</si>
  <si>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</si>
  <si>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</si>
  <si>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</si>
  <si>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</si>
  <si>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</si>
  <si>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</si>
  <si>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</si>
  <si>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</si>
  <si>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</si>
  <si>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</si>
  <si>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</si>
  <si>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</si>
  <si>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</si>
  <si>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</si>
  <si>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</si>
  <si>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</si>
  <si>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</si>
  <si>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</si>
  <si>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</si>
  <si>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</si>
  <si>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</si>
  <si>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</si>
  <si>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</si>
  <si>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</si>
  <si>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</si>
  <si>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</si>
  <si>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</si>
  <si>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</si>
  <si>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</si>
  <si>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</si>
  <si>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</si>
  <si>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</si>
  <si>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</si>
  <si>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</si>
  <si>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</si>
  <si>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</si>
  <si>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</si>
  <si>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</si>
  <si>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</si>
  <si>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</si>
  <si>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</si>
  <si>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</si>
  <si>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</si>
  <si>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</si>
  <si>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</si>
  <si>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</si>
  <si>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</si>
  <si>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</si>
  <si>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</si>
  <si>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</si>
  <si>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</si>
  <si>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</si>
  <si>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</si>
  <si>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</si>
  <si>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</si>
  <si>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</si>
  <si>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</si>
  <si>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</si>
  <si>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</si>
  <si>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</si>
  <si>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</si>
  <si>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</si>
  <si>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</si>
  <si>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</si>
  <si>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</si>
  <si>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</si>
  <si>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</si>
  <si>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</si>
  <si>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</si>
  <si>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</si>
  <si>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</si>
  <si>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</si>
  <si>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</si>
  <si>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</si>
  <si>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</si>
  <si>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</si>
  <si>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</si>
  <si>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</si>
  <si>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</si>
  <si>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</si>
  <si>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</si>
  <si>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</si>
  <si>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</si>
  <si>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</si>
  <si>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</si>
  <si>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</si>
  <si>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</si>
  <si>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</si>
  <si>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</si>
  <si>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</si>
  <si>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</si>
  <si>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</si>
  <si>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</si>
  <si>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</si>
  <si>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</si>
  <si>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</si>
  <si>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</si>
  <si>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</si>
  <si>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</si>
  <si>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</si>
  <si>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</si>
  <si>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</si>
  <si>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</si>
  <si>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</si>
  <si>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</si>
  <si>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</si>
  <si>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</si>
  <si>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</si>
  <si>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</si>
  <si>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</si>
  <si>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</si>
  <si>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</si>
  <si>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</si>
  <si>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</si>
  <si>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</si>
  <si>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</si>
  <si>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</si>
  <si>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</si>
  <si>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</si>
  <si>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</si>
  <si>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</si>
  <si>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</si>
  <si>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</si>
  <si>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</si>
  <si>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</si>
  <si>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</si>
  <si>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</si>
  <si>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</si>
  <si>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</si>
  <si>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</si>
  <si>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</si>
  <si>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</si>
  <si>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</si>
  <si>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</si>
  <si>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</si>
  <si>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</si>
  <si>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</si>
  <si>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</si>
  <si>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</si>
  <si>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</si>
  <si>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</si>
  <si>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</si>
  <si>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</si>
  <si>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</si>
  <si>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</si>
  <si>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</si>
  <si>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</si>
  <si>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</si>
  <si>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</si>
  <si>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</si>
  <si>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</si>
  <si>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</si>
  <si>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</si>
  <si>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</si>
  <si>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</si>
  <si>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</si>
  <si>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</si>
  <si>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</si>
  <si>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</si>
  <si>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</si>
  <si>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</si>
  <si>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</si>
  <si>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</si>
  <si>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</si>
  <si>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</si>
  <si>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</si>
  <si>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</si>
  <si>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</si>
  <si>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</si>
  <si>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</si>
  <si>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</si>
  <si>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</si>
  <si>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</si>
  <si>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</si>
  <si>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</si>
  <si>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</si>
  <si>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</si>
  <si>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</si>
  <si>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</si>
  <si>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</si>
  <si>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</si>
  <si>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</si>
  <si>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</si>
  <si>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</si>
  <si>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</si>
  <si>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</si>
  <si>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</si>
  <si>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</si>
  <si>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</si>
  <si>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</si>
  <si>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</si>
  <si>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</si>
  <si>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</si>
  <si>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</si>
  <si>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</si>
  <si>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</si>
  <si>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</si>
  <si>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</si>
  <si>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</si>
  <si>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</si>
  <si>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</si>
  <si>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</si>
  <si>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</si>
  <si>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</si>
  <si>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</si>
  <si>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</si>
  <si>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</si>
  <si>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</si>
  <si>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</si>
  <si>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</si>
  <si>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</si>
  <si>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</si>
  <si>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</si>
  <si>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</si>
  <si>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</si>
  <si>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</si>
  <si>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</si>
  <si>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</si>
  <si>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</si>
  <si>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</si>
  <si>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</si>
  <si>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</si>
  <si>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</si>
  <si>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</si>
  <si>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</si>
  <si>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</si>
  <si>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</si>
  <si>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</si>
  <si>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</si>
  <si>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</si>
  <si>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</si>
  <si>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</si>
  <si>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</si>
  <si>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</si>
  <si>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</si>
  <si>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</si>
  <si>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</si>
  <si>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</si>
  <si>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</si>
  <si>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</si>
  <si>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</si>
  <si>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</si>
  <si>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</si>
  <si>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</si>
  <si>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</si>
  <si>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</si>
  <si>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</si>
  <si>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</si>
  <si>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</si>
  <si>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</si>
  <si>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</si>
  <si>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</si>
  <si>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</si>
  <si>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</si>
  <si>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</si>
  <si>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</si>
  <si>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</si>
  <si>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</si>
  <si>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</si>
  <si>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</si>
  <si>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</si>
  <si>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</si>
  <si>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</si>
  <si>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</si>
  <si>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</si>
  <si>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</si>
  <si>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</si>
  <si>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</si>
  <si>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</si>
  <si>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</si>
  <si>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</si>
  <si>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</si>
  <si>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</si>
  <si>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</si>
  <si>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</si>
  <si>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</si>
  <si>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</si>
  <si>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</si>
  <si>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</si>
  <si>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</si>
  <si>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</si>
  <si>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</si>
  <si>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</si>
  <si>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</si>
  <si>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</si>
  <si>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</si>
  <si>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</si>
  <si>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</si>
  <si>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</si>
  <si>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</si>
  <si>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</si>
  <si>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</si>
  <si>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</si>
  <si>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</si>
  <si>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</si>
  <si>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</si>
  <si>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</si>
  <si>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</si>
  <si>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</si>
  <si>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</si>
  <si>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</si>
  <si>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</si>
  <si>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</si>
  <si>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</si>
  <si>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</si>
  <si>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</si>
  <si>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</si>
  <si>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</si>
  <si>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</si>
  <si>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</si>
  <si>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</si>
  <si>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</si>
  <si>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</si>
  <si>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</si>
  <si>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</si>
  <si>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</si>
  <si>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</si>
  <si>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</si>
  <si>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</si>
  <si>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</si>
  <si>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</si>
  <si>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</si>
  <si>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</si>
  <si>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</si>
  <si>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</si>
  <si>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</si>
  <si>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</si>
  <si>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</si>
  <si>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</si>
  <si>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</si>
  <si>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</si>
  <si>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</si>
  <si>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</si>
  <si>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</si>
  <si>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</si>
  <si>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</si>
  <si>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</si>
  <si>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</si>
  <si>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</si>
  <si>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</si>
  <si>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</si>
  <si>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</si>
  <si>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</si>
  <si>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</si>
  <si>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</si>
  <si>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</si>
  <si>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</si>
  <si>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</si>
  <si>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</si>
  <si>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</si>
  <si>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</si>
  <si>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</si>
  <si>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</si>
  <si>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</si>
  <si>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</si>
  <si>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</si>
  <si>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</si>
  <si>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</si>
  <si>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</si>
  <si>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</si>
  <si>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</si>
  <si>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</si>
  <si>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</si>
  <si>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</si>
  <si>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</si>
  <si>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</si>
  <si>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</si>
  <si>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</si>
  <si>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</si>
  <si>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</si>
  <si>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</si>
  <si>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</si>
  <si>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</si>
  <si>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</si>
  <si>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</si>
  <si>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</si>
  <si>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</si>
  <si>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</si>
  <si>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</si>
  <si>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</si>
  <si>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</si>
  <si>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</si>
  <si>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</si>
  <si>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</si>
  <si>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</si>
  <si>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</si>
  <si>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</si>
  <si>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</si>
  <si>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</si>
  <si>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</si>
  <si>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</si>
  <si>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</si>
  <si>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</si>
  <si>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</si>
  <si>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</si>
  <si>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</si>
  <si>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</si>
  <si>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</si>
  <si>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</si>
  <si>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</si>
  <si>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</si>
  <si>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</si>
  <si>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</si>
  <si>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</si>
  <si>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</si>
  <si>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</si>
  <si>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</si>
  <si>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</si>
  <si>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</si>
  <si>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</si>
  <si>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</si>
  <si>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</si>
  <si>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</si>
  <si>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</si>
  <si>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</si>
  <si>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</si>
  <si>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</si>
  <si>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</si>
  <si>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</si>
  <si>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</si>
  <si>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</si>
  <si>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</si>
  <si>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</si>
  <si>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</si>
  <si>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</si>
  <si>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</si>
  <si>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</si>
  <si>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</si>
  <si>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</si>
  <si>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</si>
  <si>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</si>
  <si>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</si>
  <si>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</si>
  <si>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</si>
  <si>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</si>
  <si>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</si>
  <si>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</si>
  <si>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</si>
  <si>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</si>
  <si>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</si>
  <si>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</si>
  <si>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</si>
  <si>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</si>
  <si>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</si>
  <si>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</si>
  <si>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</si>
  <si>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</si>
  <si>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</si>
  <si>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</si>
  <si>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</si>
  <si>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</si>
  <si>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</si>
  <si>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</si>
  <si>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</si>
  <si>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</si>
  <si>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</si>
  <si>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</si>
  <si>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</si>
  <si>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</si>
  <si>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</si>
  <si>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</si>
  <si>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</si>
  <si>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</si>
  <si>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</si>
  <si>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</si>
  <si>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</si>
  <si>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</si>
  <si>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</si>
  <si>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</si>
  <si>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</si>
  <si>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</si>
  <si>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</si>
  <si>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</si>
  <si>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</si>
  <si>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</si>
  <si>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</si>
  <si>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</si>
  <si>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</si>
  <si>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</si>
  <si>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</si>
  <si>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</si>
  <si>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</si>
  <si>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</si>
  <si>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</si>
  <si>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</si>
  <si>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</si>
  <si>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</si>
  <si>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</si>
  <si>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</si>
  <si>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</si>
  <si>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</si>
  <si>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</si>
  <si>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</si>
  <si>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</si>
  <si>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</si>
  <si>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</si>
  <si>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</si>
  <si>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</si>
  <si>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</si>
  <si>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</si>
  <si>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</si>
  <si>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</si>
  <si>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</si>
  <si>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</si>
  <si>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</si>
  <si>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</si>
  <si>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</si>
  <si>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</si>
  <si>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</si>
  <si>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</si>
  <si>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</si>
  <si>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</si>
  <si>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</si>
  <si>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</si>
  <si>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</si>
  <si>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</si>
  <si>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</si>
  <si>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</si>
  <si>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</si>
  <si>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</si>
  <si>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</si>
  <si>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</si>
  <si>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</si>
  <si>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</si>
  <si>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</si>
  <si>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</si>
  <si>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</si>
  <si>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</si>
  <si>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</si>
  <si>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</si>
  <si>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</si>
  <si>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</si>
  <si>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</si>
  <si>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</si>
  <si>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</si>
  <si>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</si>
  <si>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</si>
  <si>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</si>
  <si>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</si>
  <si>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</si>
  <si>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</si>
  <si>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</si>
  <si>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</si>
  <si>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</si>
  <si>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</si>
  <si>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</si>
  <si>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</si>
  <si>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</si>
  <si>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</si>
  <si>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</si>
  <si>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</si>
  <si>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</si>
  <si>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</si>
  <si>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</si>
  <si>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</si>
  <si>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</si>
  <si>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</si>
  <si>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</si>
  <si>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</si>
  <si>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</si>
  <si>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</si>
  <si>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</si>
  <si>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</si>
  <si>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</si>
  <si>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</si>
  <si>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</si>
  <si>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</si>
  <si>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</si>
  <si>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</si>
  <si>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</si>
  <si>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</si>
  <si>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</si>
  <si>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</si>
  <si>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</si>
  <si>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</si>
  <si>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</si>
  <si>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</si>
  <si>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</si>
  <si>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</si>
  <si>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</si>
  <si>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</si>
  <si>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</si>
  <si>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</si>
  <si>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</si>
  <si>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</si>
  <si>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</si>
  <si>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</si>
  <si>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</si>
  <si>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</si>
  <si>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</si>
  <si>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</si>
  <si>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</si>
  <si>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</si>
  <si>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</si>
  <si>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</si>
  <si>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</si>
  <si>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</si>
  <si>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</si>
  <si>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</si>
  <si>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</si>
  <si>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</si>
  <si>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</si>
  <si>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</si>
  <si>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</si>
  <si>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</si>
  <si>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</si>
  <si>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</si>
  <si>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</si>
  <si>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</si>
  <si>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</si>
  <si>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</si>
  <si>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</si>
  <si>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</si>
  <si>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</si>
  <si>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</si>
  <si>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</si>
  <si>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</si>
  <si>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</si>
  <si>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</si>
  <si>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</si>
  <si>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</si>
  <si>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</si>
  <si>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</si>
  <si>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</si>
  <si>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</si>
  <si>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</si>
  <si>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</si>
  <si>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</si>
  <si>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</si>
  <si>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</si>
  <si>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</si>
  <si>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</si>
  <si>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</si>
  <si>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</si>
  <si>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</si>
  <si>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</si>
  <si>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</si>
  <si>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</si>
  <si>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</si>
  <si>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</si>
  <si>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</si>
  <si>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</si>
  <si>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</si>
  <si>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</si>
  <si>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</si>
  <si>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</si>
  <si>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</si>
  <si>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</si>
  <si>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</si>
  <si>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</si>
  <si>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</si>
  <si>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</si>
  <si>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</si>
  <si>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</si>
  <si>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</si>
  <si>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</si>
  <si>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</si>
  <si>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</si>
  <si>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</si>
  <si>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</si>
  <si>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</si>
  <si>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</si>
  <si>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</si>
  <si>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</si>
  <si>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</si>
  <si>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</si>
  <si>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</si>
  <si>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</si>
  <si>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</si>
  <si>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</si>
  <si>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</si>
  <si>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</si>
  <si>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</si>
  <si>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</si>
  <si>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</si>
  <si>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</si>
  <si>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</si>
  <si>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</si>
  <si>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</si>
  <si>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</si>
  <si>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</si>
  <si>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</si>
  <si>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</si>
  <si>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</si>
  <si>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</si>
  <si>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</si>
  <si>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</si>
  <si>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</si>
  <si>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</si>
  <si>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</si>
  <si>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</si>
  <si>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</si>
  <si>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</si>
  <si>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</si>
  <si>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</si>
  <si>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</si>
  <si>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</si>
  <si>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</si>
  <si>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</si>
  <si>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</si>
  <si>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</si>
  <si>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</si>
  <si>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</si>
  <si>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</si>
  <si>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</si>
  <si>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</si>
  <si>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</si>
  <si>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</si>
  <si>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</si>
  <si>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</si>
  <si>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</si>
  <si>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</si>
  <si>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</si>
  <si>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</si>
  <si>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</si>
  <si>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</si>
  <si>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</si>
  <si>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</si>
  <si>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</si>
  <si>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</si>
  <si>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</si>
  <si>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</si>
  <si>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</si>
  <si>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</si>
  <si>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</si>
  <si>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</si>
  <si>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</si>
  <si>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</si>
  <si>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</si>
  <si>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</si>
  <si>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</si>
  <si>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</si>
  <si>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</si>
  <si>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</si>
  <si>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</si>
  <si>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</si>
  <si>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</si>
  <si>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</si>
  <si>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</si>
  <si>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</si>
  <si>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</si>
  <si>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</si>
  <si>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</si>
  <si>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</si>
  <si>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</si>
  <si>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</si>
  <si>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</si>
  <si>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</si>
  <si>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</si>
  <si>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</si>
  <si>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</si>
  <si>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</si>
  <si>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</si>
  <si>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</si>
  <si>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</si>
  <si>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</si>
  <si>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</si>
  <si>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</si>
  <si>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</si>
  <si>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</si>
  <si>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</si>
  <si>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</si>
  <si>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</si>
  <si>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</si>
  <si>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</si>
  <si>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</si>
  <si>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</si>
  <si>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</si>
  <si>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</si>
  <si>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</si>
  <si>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</si>
  <si>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</si>
  <si>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</si>
  <si>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</si>
  <si>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</si>
  <si>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</si>
  <si>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</si>
  <si>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</si>
  <si>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</si>
  <si>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</si>
  <si>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</si>
  <si>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</si>
  <si>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</si>
  <si>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</si>
  <si>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</si>
  <si>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</si>
  <si>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</si>
  <si>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</si>
  <si>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</si>
  <si>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</si>
  <si>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</si>
  <si>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</si>
  <si>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</si>
  <si>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</si>
  <si>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</si>
  <si>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</si>
  <si>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</si>
  <si>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</si>
  <si>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</si>
  <si>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</si>
  <si>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</si>
  <si>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</si>
  <si>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</si>
  <si>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</si>
  <si>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</si>
  <si>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</si>
  <si>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</si>
  <si>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</si>
  <si>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</si>
  <si>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</si>
  <si>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</si>
  <si>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</si>
  <si>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</si>
  <si>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</si>
  <si>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</si>
  <si>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</si>
  <si>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</si>
  <si>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</si>
  <si>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</si>
  <si>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</si>
  <si>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</si>
  <si>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</si>
  <si>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</si>
  <si>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</si>
  <si>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</si>
  <si>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</si>
  <si>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</si>
  <si>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</si>
  <si>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</si>
  <si>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</si>
  <si>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</si>
  <si>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</si>
  <si>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</si>
  <si>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</si>
  <si>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</si>
  <si>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</si>
  <si>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</si>
  <si>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</si>
  <si>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</si>
  <si>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</si>
  <si>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</si>
  <si>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</si>
  <si>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</si>
  <si>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</si>
  <si>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</si>
  <si>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</si>
  <si>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</si>
  <si>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</si>
  <si>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</si>
  <si>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</si>
  <si>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</si>
  <si>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</si>
  <si>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</si>
  <si>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</si>
  <si>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</si>
  <si>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</si>
  <si>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</si>
  <si>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</si>
  <si>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</si>
  <si>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</si>
  <si>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</si>
  <si>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</si>
  <si>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</si>
  <si>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</si>
  <si>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</si>
  <si>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</si>
  <si>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</si>
  <si>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</si>
  <si>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</si>
  <si>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</si>
  <si>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</si>
  <si>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</si>
  <si>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</si>
  <si>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</si>
  <si>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</si>
  <si>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</si>
  <si>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</si>
  <si>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</si>
  <si>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</si>
  <si>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</si>
  <si>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</si>
  <si>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</si>
  <si>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</si>
  <si>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</si>
  <si>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</si>
  <si>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</si>
  <si>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</si>
  <si>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</si>
  <si>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</si>
  <si>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</si>
  <si>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</si>
  <si>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</si>
  <si>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</si>
  <si>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</si>
  <si>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</si>
  <si>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</si>
  <si>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</si>
  <si>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</si>
  <si>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</si>
  <si>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</si>
  <si>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</si>
  <si>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</si>
  <si>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</si>
  <si>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</si>
  <si>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</si>
  <si>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</si>
  <si>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</si>
  <si>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</si>
  <si>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</si>
  <si>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</si>
  <si>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</si>
  <si>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</si>
  <si>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</si>
  <si>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</si>
  <si>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</si>
  <si>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</si>
  <si>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</si>
  <si>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</si>
  <si>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</si>
  <si>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</si>
  <si>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</si>
  <si>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</si>
  <si>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</si>
  <si>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</si>
  <si>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</si>
  <si>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</si>
  <si>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</si>
  <si>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</si>
  <si>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</si>
  <si>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</si>
  <si>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</si>
  <si>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</si>
  <si>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</si>
  <si>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</si>
  <si>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</si>
  <si>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</si>
  <si>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</si>
  <si>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</si>
  <si>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</si>
  <si>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</si>
  <si>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</si>
  <si>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</si>
  <si>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</si>
  <si>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</si>
  <si>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</si>
  <si>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</si>
  <si>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</si>
  <si>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</si>
  <si>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</si>
  <si>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</si>
  <si>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</si>
  <si>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</si>
  <si>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</si>
  <si>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</si>
  <si>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</si>
  <si>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</si>
  <si>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</si>
  <si>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</si>
  <si>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</si>
  <si>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</si>
  <si>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</si>
  <si>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</si>
  <si>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</si>
  <si>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</si>
  <si>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</si>
  <si>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</si>
  <si>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</si>
  <si>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</si>
  <si>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</si>
  <si>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</si>
  <si>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</si>
  <si>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</si>
  <si>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</si>
  <si>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</si>
  <si>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</si>
  <si>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</si>
  <si>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</si>
  <si>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</si>
  <si>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</si>
  <si>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</si>
  <si>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</si>
  <si>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</si>
  <si>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</si>
  <si>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</si>
  <si>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</si>
  <si>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</si>
  <si>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</si>
  <si>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</si>
  <si>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</si>
  <si>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</si>
  <si>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</si>
  <si>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</si>
  <si>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</si>
  <si>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</si>
  <si>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</si>
  <si>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</si>
  <si>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</si>
  <si>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</si>
  <si>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</si>
  <si>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</si>
  <si>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</si>
  <si>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</si>
  <si>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</si>
  <si>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</si>
  <si>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</si>
  <si>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</si>
  <si>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</si>
  <si>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</si>
  <si>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</si>
  <si>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</si>
  <si>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</si>
  <si>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</si>
  <si>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</si>
  <si>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</si>
  <si>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</si>
  <si>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</si>
  <si>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</si>
  <si>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</si>
  <si>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</si>
  <si>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</si>
  <si>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</si>
  <si>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</si>
  <si>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</si>
  <si>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</si>
  <si>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</si>
  <si>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</si>
  <si>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</si>
  <si>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</si>
  <si>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</si>
  <si>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</si>
  <si>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</si>
  <si>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</si>
  <si>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</si>
  <si>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</si>
  <si>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</si>
  <si>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</si>
  <si>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</si>
  <si>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</si>
  <si>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</si>
  <si>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</si>
  <si>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</si>
  <si>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</si>
  <si>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</si>
  <si>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</si>
  <si>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</si>
  <si>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</si>
  <si>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</si>
  <si>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</si>
  <si>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</si>
  <si>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</si>
  <si>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</si>
  <si>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</si>
  <si>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</si>
  <si>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</si>
  <si>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</si>
  <si>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</si>
  <si>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</si>
  <si>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</si>
  <si>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</si>
  <si>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</si>
  <si>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</si>
  <si>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</si>
  <si>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</si>
  <si>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</si>
  <si>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</si>
  <si>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</si>
  <si>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</si>
  <si>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</si>
  <si>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</si>
  <si>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</si>
  <si>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</si>
  <si>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</si>
  <si>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</si>
  <si>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</si>
  <si>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</si>
  <si>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</si>
  <si>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</si>
  <si>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</si>
  <si>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</si>
  <si>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</si>
  <si>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</si>
  <si>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</si>
  <si>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</si>
  <si>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</si>
  <si>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</si>
  <si>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</si>
  <si>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</si>
  <si>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</si>
  <si>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</si>
  <si>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</si>
  <si>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</si>
  <si>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</si>
  <si>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</si>
  <si>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</si>
  <si>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</si>
  <si>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</si>
  <si>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</si>
  <si>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</si>
  <si>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</si>
  <si>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</si>
  <si>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</si>
  <si>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</si>
  <si>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</si>
  <si>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</si>
  <si>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</si>
  <si>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</si>
  <si>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</si>
  <si>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</si>
  <si>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</si>
  <si>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</si>
  <si>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</si>
  <si>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</si>
  <si>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</si>
  <si>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</si>
  <si>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</si>
  <si>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</si>
  <si>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</si>
  <si>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</si>
  <si>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</si>
  <si>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</si>
  <si>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</si>
  <si>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</si>
  <si>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</si>
  <si>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</si>
  <si>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</si>
  <si>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</si>
  <si>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</si>
  <si>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</si>
  <si>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</si>
  <si>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</si>
  <si>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</si>
  <si>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</si>
  <si>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</si>
  <si>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</si>
  <si>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</si>
  <si>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</si>
  <si>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</si>
  <si>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</si>
  <si>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</si>
  <si>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</si>
  <si>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</si>
  <si>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</si>
  <si>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</si>
  <si>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</si>
  <si>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</si>
  <si>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</si>
  <si>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</si>
  <si>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</si>
  <si>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</si>
  <si>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</si>
  <si>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</si>
  <si>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</si>
  <si>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</si>
  <si>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</si>
  <si>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</si>
  <si>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</si>
  <si>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</si>
  <si>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</si>
  <si>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</si>
  <si>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</si>
  <si>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</si>
  <si>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</si>
  <si>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</si>
  <si>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</si>
  <si>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</si>
  <si>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</si>
  <si>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</si>
  <si>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</si>
  <si>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</si>
  <si>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</si>
  <si>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</si>
  <si>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</si>
  <si>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</si>
  <si>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</si>
  <si>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</si>
  <si>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</si>
  <si>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</si>
  <si>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</si>
  <si>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</si>
  <si>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</si>
  <si>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</si>
  <si>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</si>
  <si>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</si>
  <si>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</si>
  <si>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</si>
  <si>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</si>
  <si>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</si>
  <si>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</si>
  <si>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</si>
  <si>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</si>
  <si>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</si>
  <si>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</si>
  <si>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</si>
  <si>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</si>
  <si>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</si>
  <si>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</si>
  <si>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</si>
  <si>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</si>
  <si>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</si>
  <si>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</si>
  <si>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</si>
  <si>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</si>
  <si>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</si>
  <si>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</si>
  <si>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</si>
  <si>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</si>
  <si>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</si>
  <si>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</si>
  <si>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</si>
  <si>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</si>
  <si>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</si>
  <si>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</si>
  <si>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</si>
  <si>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</si>
  <si>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</si>
  <si>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</si>
  <si>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</si>
  <si>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</si>
  <si>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</si>
  <si>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</si>
  <si>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</si>
  <si>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</si>
  <si>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</si>
  <si>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</si>
  <si>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</si>
  <si>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</si>
  <si>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</si>
  <si>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</si>
  <si>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</si>
  <si>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</si>
  <si>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</si>
  <si>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</si>
  <si>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</si>
  <si>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</si>
  <si>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</si>
  <si>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</si>
  <si>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</si>
  <si>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</si>
  <si>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</si>
  <si>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</si>
  <si>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</si>
  <si>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</si>
  <si>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</si>
  <si>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</si>
  <si>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</si>
  <si>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</si>
  <si>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</si>
  <si>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</si>
  <si>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</si>
  <si>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</si>
  <si>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</si>
  <si>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</si>
  <si>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</si>
  <si>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</si>
  <si>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</si>
  <si>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</si>
  <si>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</si>
  <si>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</si>
  <si>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</si>
  <si>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</si>
  <si>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</si>
  <si>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</si>
  <si>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</si>
  <si>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</si>
  <si>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</si>
  <si>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</si>
  <si>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</si>
  <si>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</si>
  <si>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</si>
  <si>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</si>
  <si>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</si>
  <si>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</si>
  <si>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</si>
  <si>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</si>
  <si>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</si>
  <si>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</si>
  <si>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</si>
  <si>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</si>
  <si>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</si>
  <si>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</si>
  <si>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</si>
  <si>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</si>
  <si>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</si>
  <si>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</si>
  <si>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</si>
  <si>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</si>
  <si>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</si>
  <si>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</si>
  <si>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</si>
  <si>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</si>
  <si>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</si>
  <si>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</si>
  <si>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</si>
  <si>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</si>
  <si>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</si>
  <si>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</si>
  <si>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</si>
  <si>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</si>
  <si>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</si>
  <si>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</si>
  <si>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</si>
  <si>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</si>
  <si>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</si>
  <si>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</si>
  <si>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</si>
  <si>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</si>
  <si>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</si>
  <si>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</si>
  <si>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</si>
  <si>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</si>
  <si>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</si>
  <si>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</si>
  <si>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</si>
  <si>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</si>
  <si>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</si>
  <si>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</si>
  <si>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</si>
  <si>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</si>
  <si>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</si>
  <si>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</si>
  <si>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</si>
  <si>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</si>
  <si>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</si>
  <si>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</si>
  <si>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</si>
  <si>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</si>
  <si>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</si>
  <si>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</si>
  <si>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</si>
  <si>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</si>
  <si>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</si>
  <si>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</si>
  <si>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</si>
  <si>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</si>
  <si>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</si>
  <si>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</si>
  <si>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</si>
  <si>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</si>
  <si>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</si>
  <si>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</si>
  <si>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</si>
  <si>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</si>
  <si>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</si>
  <si>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</si>
  <si>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</si>
  <si>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</si>
  <si>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</si>
  <si>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</si>
  <si>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</si>
  <si>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</si>
  <si>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</si>
  <si>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</si>
  <si>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</si>
  <si>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</si>
  <si>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</si>
  <si>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</si>
  <si>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</si>
  <si>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</si>
  <si>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</si>
  <si>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</si>
  <si>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</si>
  <si>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</si>
  <si>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</si>
  <si>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</si>
  <si>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</si>
  <si>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</si>
  <si>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</si>
  <si>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</si>
  <si>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</si>
  <si>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</si>
  <si>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</si>
  <si>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</si>
  <si>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</si>
  <si>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</si>
  <si>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</si>
  <si>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</si>
  <si>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</si>
  <si>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</si>
  <si>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</si>
  <si>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</si>
  <si>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</si>
  <si>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</si>
  <si>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</si>
  <si>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</si>
  <si>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</si>
  <si>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</si>
  <si>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</si>
  <si>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</si>
  <si>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</si>
  <si>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</si>
  <si>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</si>
  <si>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</si>
  <si>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</si>
  <si>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</si>
  <si>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</si>
  <si>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</si>
  <si>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</si>
  <si>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</si>
  <si>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</si>
  <si>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</si>
  <si>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</si>
  <si>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</si>
  <si>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</si>
  <si>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</si>
  <si>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</si>
  <si>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</si>
  <si>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</si>
  <si>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</si>
  <si>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</si>
  <si>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</si>
  <si>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</si>
  <si>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</si>
  <si>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</si>
  <si>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</si>
  <si>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</si>
  <si>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</si>
  <si>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</si>
  <si>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</si>
  <si>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</si>
  <si>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</si>
  <si>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</si>
  <si>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</si>
  <si>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</si>
  <si>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</si>
  <si>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</si>
  <si>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</si>
  <si>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</si>
  <si>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</si>
  <si>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</si>
  <si>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</si>
  <si>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</si>
  <si>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</si>
  <si>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</si>
  <si>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</si>
  <si>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</si>
  <si>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</si>
  <si>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</si>
  <si>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</si>
  <si>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</si>
  <si>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</si>
  <si>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</si>
  <si>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</si>
  <si>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</si>
  <si>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</si>
  <si>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</si>
  <si>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</si>
  <si>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</si>
  <si>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</si>
  <si>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</si>
  <si>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</si>
  <si>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</si>
  <si>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</si>
  <si>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</si>
  <si>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</si>
  <si>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</si>
  <si>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</si>
  <si>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</si>
  <si>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</si>
  <si>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</si>
  <si>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</si>
  <si>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</si>
  <si>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</si>
  <si>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</si>
  <si>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</si>
  <si>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</si>
  <si>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</si>
  <si>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</si>
  <si>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</si>
  <si>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</si>
  <si>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</si>
  <si>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</si>
  <si>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</si>
  <si>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</si>
  <si>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</si>
  <si>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</si>
  <si>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</si>
  <si>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</si>
  <si>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</si>
  <si>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</si>
  <si>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</si>
  <si>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</si>
  <si>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</si>
  <si>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</si>
  <si>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</si>
  <si>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</si>
  <si>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</si>
  <si>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</si>
  <si>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</si>
  <si>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</si>
  <si>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</si>
  <si>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</si>
  <si>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</si>
  <si>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</si>
  <si>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</si>
  <si>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</si>
  <si>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</si>
  <si>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</si>
  <si>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</si>
  <si>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</si>
  <si>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</si>
  <si>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</si>
  <si>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</si>
  <si>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</si>
  <si>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</si>
  <si>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</si>
  <si>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</si>
  <si>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</si>
  <si>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</si>
  <si>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</si>
  <si>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</si>
  <si>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</si>
  <si>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</si>
  <si>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</si>
  <si>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</si>
  <si>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</si>
  <si>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</si>
  <si>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</si>
  <si>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</si>
  <si>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</si>
  <si>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</si>
  <si>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</si>
  <si>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</si>
  <si>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</si>
  <si>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</si>
  <si>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</si>
  <si>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</si>
  <si>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</si>
  <si>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</si>
  <si>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</si>
  <si>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</si>
  <si>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</si>
  <si>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</si>
  <si>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</si>
  <si>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</si>
  <si>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</si>
  <si>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</si>
  <si>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</si>
  <si>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</si>
  <si>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</si>
  <si>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</si>
  <si>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</si>
  <si>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</si>
  <si>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</si>
  <si>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</si>
  <si>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</si>
  <si>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</si>
  <si>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</si>
  <si>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</si>
  <si>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</si>
  <si>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</si>
  <si>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</si>
  <si>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</si>
  <si>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</si>
  <si>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</si>
  <si>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</si>
  <si>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</si>
  <si>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</si>
  <si>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</si>
  <si>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</si>
  <si>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</si>
  <si>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</si>
  <si>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</si>
  <si>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</si>
  <si>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</si>
  <si>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</si>
  <si>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</si>
  <si>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</si>
  <si>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</si>
  <si>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</si>
  <si>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</si>
  <si>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</si>
  <si>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</si>
  <si>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</si>
  <si>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</si>
  <si>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</si>
  <si>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</si>
  <si>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</si>
  <si>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</si>
  <si>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</si>
  <si>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</si>
  <si>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</si>
  <si>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</si>
  <si>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</si>
  <si>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</si>
  <si>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</si>
  <si>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</si>
  <si>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</si>
  <si>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</si>
  <si>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</si>
  <si>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</si>
  <si>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</si>
  <si>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</si>
  <si>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</si>
  <si>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</si>
  <si>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</si>
  <si>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</si>
  <si>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</si>
  <si>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</si>
  <si>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</si>
  <si>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</si>
  <si>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</si>
  <si>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</si>
  <si>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</si>
  <si>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</si>
  <si>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</si>
  <si>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</si>
  <si>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</si>
  <si>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</si>
  <si>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</si>
  <si>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</si>
  <si>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</si>
  <si>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</si>
  <si>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</si>
  <si>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</si>
  <si>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</si>
  <si>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</si>
  <si>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</si>
  <si>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</si>
  <si>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</si>
  <si>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</si>
  <si>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</si>
  <si>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</si>
  <si>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</si>
  <si>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</si>
  <si>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</si>
  <si>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</si>
  <si>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</si>
  <si>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</si>
  <si>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</si>
  <si>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</si>
  <si>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</si>
  <si>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</si>
  <si>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</si>
  <si>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</si>
  <si>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</si>
  <si>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</si>
  <si>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</si>
  <si>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</si>
  <si>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</si>
  <si>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</si>
  <si>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</si>
  <si>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</si>
  <si>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</si>
  <si>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</si>
  <si>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</si>
  <si>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</si>
  <si>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</si>
  <si>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</si>
  <si>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</si>
  <si>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</si>
  <si>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</si>
  <si>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</si>
  <si>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</si>
  <si>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</si>
  <si>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</si>
  <si>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</si>
  <si>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</si>
  <si>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</si>
  <si>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</si>
  <si>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</si>
  <si>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</si>
  <si>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</si>
  <si>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</si>
  <si>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</si>
  <si>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</si>
  <si>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</si>
  <si>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</si>
  <si>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</si>
  <si>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</si>
  <si>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</si>
  <si>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</si>
  <si>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</si>
  <si>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</si>
  <si>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</si>
  <si>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</si>
  <si>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</si>
  <si>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</si>
  <si>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</si>
  <si>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</si>
  <si>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</si>
  <si>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</si>
  <si>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</si>
  <si>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</si>
  <si>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</si>
  <si>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</si>
  <si>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</si>
  <si>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</si>
  <si>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</si>
  <si>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</si>
  <si>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</si>
  <si>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</si>
  <si>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</si>
  <si>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</si>
  <si>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</si>
  <si>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</si>
  <si>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</si>
  <si>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</si>
  <si>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</si>
  <si>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</si>
  <si>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</si>
  <si>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</si>
  <si>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</si>
  <si>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</si>
  <si>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</si>
  <si>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</si>
  <si>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</si>
  <si>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</si>
  <si>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</si>
  <si>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</si>
  <si>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</si>
  <si>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</si>
  <si>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</si>
  <si>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</si>
  <si>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</si>
  <si>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</si>
  <si>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</si>
  <si>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</si>
  <si>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</si>
  <si>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</si>
  <si>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</si>
  <si>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</si>
  <si>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</si>
  <si>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</si>
  <si>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</si>
  <si>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</si>
  <si>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</si>
  <si>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</si>
  <si>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</si>
  <si>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</si>
  <si>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</si>
  <si>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</si>
  <si>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</si>
  <si>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</si>
  <si>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</si>
  <si>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</si>
  <si>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</si>
  <si>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</si>
  <si>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</si>
  <si>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</si>
  <si>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</si>
  <si>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</si>
  <si>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</si>
  <si>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</si>
  <si>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</si>
  <si>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</si>
  <si>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</si>
  <si>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</si>
  <si>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</si>
  <si>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</si>
  <si>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</si>
  <si>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</si>
  <si>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</si>
  <si>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</si>
  <si>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</si>
  <si>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</si>
  <si>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</si>
  <si>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</si>
  <si>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</si>
  <si>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</si>
  <si>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</si>
  <si>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</si>
  <si>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</si>
  <si>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</si>
  <si>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</si>
  <si>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</si>
  <si>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</si>
  <si>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</si>
  <si>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</si>
  <si>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</si>
  <si>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</si>
  <si>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</si>
  <si>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</si>
  <si>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</si>
  <si>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</si>
  <si>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</si>
  <si>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</si>
  <si>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</si>
  <si>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</si>
  <si>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</si>
  <si>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</si>
  <si>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</si>
  <si>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</si>
  <si>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</si>
  <si>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</si>
  <si>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</si>
  <si>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</si>
  <si>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</si>
  <si>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</si>
  <si>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</si>
  <si>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</si>
  <si>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</si>
  <si>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</si>
  <si>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</si>
  <si>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</si>
  <si>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</si>
  <si>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</si>
  <si>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</si>
  <si>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</si>
  <si>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</si>
  <si>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</si>
  <si>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</si>
  <si>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</si>
  <si>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</si>
  <si>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</si>
  <si>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</si>
  <si>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</si>
  <si>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</si>
  <si>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</si>
  <si>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</si>
  <si>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</si>
  <si>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</si>
  <si>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</si>
  <si>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</si>
  <si>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</si>
  <si>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</si>
  <si>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</si>
  <si>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</si>
  <si>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</si>
  <si>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</si>
  <si>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</si>
  <si>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</si>
  <si>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</si>
  <si>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</si>
  <si>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</si>
  <si>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</si>
  <si>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</si>
  <si>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</si>
  <si>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</si>
  <si>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</si>
  <si>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</si>
  <si>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</si>
  <si>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</si>
  <si>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</si>
  <si>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</si>
  <si>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</si>
  <si>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</si>
  <si>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</si>
  <si>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</si>
  <si>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</si>
  <si>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</si>
  <si>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</si>
  <si>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</si>
  <si>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</si>
  <si>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</si>
  <si>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</si>
  <si>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</si>
  <si>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</si>
  <si>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</si>
  <si>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</si>
  <si>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</si>
  <si>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</si>
  <si>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</si>
  <si>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</si>
  <si>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</si>
  <si>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</si>
  <si>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</si>
  <si>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</si>
  <si>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</si>
  <si>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</si>
  <si>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</si>
  <si>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</si>
  <si>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</si>
  <si>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</si>
  <si>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</si>
  <si>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</si>
  <si>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</si>
  <si>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</si>
  <si>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</si>
  <si>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</si>
  <si>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</si>
  <si>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</si>
  <si>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</si>
  <si>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</si>
  <si>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</si>
  <si>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</si>
  <si>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</si>
  <si>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</si>
  <si>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</si>
  <si>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</si>
  <si>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</si>
  <si>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</si>
  <si>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</si>
  <si>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</si>
  <si>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</si>
  <si>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</si>
  <si>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</si>
  <si>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</si>
  <si>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</si>
  <si>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</si>
  <si>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</si>
  <si>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</si>
  <si>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</si>
  <si>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</si>
  <si>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</si>
  <si>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</si>
  <si>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</si>
  <si>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</si>
  <si>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</si>
  <si>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</si>
  <si>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</si>
  <si>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</si>
  <si>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</si>
  <si>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</si>
  <si>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</si>
  <si>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</si>
  <si>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</si>
  <si>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</si>
  <si>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</si>
  <si>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</si>
  <si>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</si>
  <si>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</si>
  <si>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</si>
  <si>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</si>
  <si>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</si>
  <si>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</si>
  <si>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</si>
  <si>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</si>
  <si>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</si>
  <si>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</si>
  <si>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</si>
  <si>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</si>
  <si>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</si>
  <si>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</si>
  <si>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</si>
  <si>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</si>
  <si>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</si>
  <si>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</si>
  <si>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</si>
  <si>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</si>
  <si>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</si>
  <si>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</si>
  <si>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</si>
  <si>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</si>
  <si>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</si>
  <si>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</si>
  <si>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</si>
  <si>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</si>
  <si>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</si>
  <si>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</si>
  <si>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</si>
  <si>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</si>
  <si>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</si>
  <si>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</si>
  <si>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</si>
  <si>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</si>
  <si>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</si>
  <si>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</si>
  <si>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</si>
  <si>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</si>
  <si>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</si>
  <si>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</si>
  <si>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</si>
  <si>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</si>
  <si>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</si>
  <si>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</si>
  <si>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</si>
  <si>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</si>
  <si>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</si>
  <si>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</si>
  <si>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</si>
  <si>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</si>
  <si>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</si>
  <si>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</si>
  <si>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</si>
  <si>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</si>
  <si>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</si>
  <si>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</si>
  <si>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</si>
  <si>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</si>
  <si>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</si>
  <si>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</si>
  <si>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</si>
  <si>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</si>
  <si>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</si>
  <si>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</si>
  <si>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</si>
  <si>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</si>
  <si>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</si>
  <si>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</si>
  <si>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</si>
  <si>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</si>
  <si>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</si>
  <si>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</si>
  <si>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</si>
  <si>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</si>
  <si>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</si>
  <si>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</si>
  <si>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</si>
  <si>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</si>
  <si>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</si>
  <si>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</si>
  <si>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</si>
  <si>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</si>
  <si>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</si>
  <si>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</si>
  <si>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</si>
  <si>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</si>
  <si>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</si>
  <si>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</si>
  <si>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</si>
  <si>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</si>
  <si>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</si>
  <si>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</si>
  <si>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</si>
  <si>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</si>
  <si>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</si>
  <si>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</si>
  <si>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</si>
  <si>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</si>
  <si>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</si>
  <si>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</si>
  <si>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</si>
  <si>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</si>
  <si>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</si>
  <si>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</si>
  <si>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</si>
  <si>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</si>
  <si>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</si>
  <si>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</si>
  <si>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</si>
  <si>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</si>
  <si>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</si>
  <si>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</si>
  <si>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</si>
  <si>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</si>
  <si>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</si>
  <si>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</si>
  <si>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</si>
  <si>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</si>
  <si>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</si>
  <si>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</si>
  <si>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</si>
  <si>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</si>
  <si>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</si>
  <si>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</si>
  <si>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</si>
  <si>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</si>
  <si>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</si>
  <si>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</si>
  <si>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</si>
  <si>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</si>
  <si>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</si>
  <si>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</si>
  <si>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</si>
  <si>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</si>
  <si>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</si>
  <si>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</si>
  <si>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</si>
  <si>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</si>
  <si>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</si>
  <si>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</si>
  <si>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</si>
  <si>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</si>
  <si>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</si>
  <si>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</si>
  <si>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</si>
  <si>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</si>
  <si>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</si>
  <si>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</si>
  <si>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</si>
  <si>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</si>
  <si>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</si>
  <si>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</si>
  <si>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</si>
  <si>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</si>
  <si>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</si>
  <si>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</si>
  <si>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</si>
  <si>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</si>
  <si>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</si>
  <si>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</si>
  <si>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</si>
  <si>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</si>
  <si>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</si>
  <si>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</si>
  <si>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</si>
  <si>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</si>
  <si>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</si>
  <si>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</si>
  <si>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</si>
  <si>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</si>
  <si>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</si>
  <si>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</si>
  <si>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</si>
  <si>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</si>
  <si>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</si>
  <si>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</si>
  <si>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</si>
  <si>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</si>
  <si>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</si>
  <si>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</si>
  <si>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</si>
  <si>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</si>
  <si>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</si>
  <si>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</si>
  <si>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</si>
  <si>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</si>
  <si>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</si>
  <si>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</si>
  <si>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</si>
  <si>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</si>
  <si>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</si>
  <si>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</si>
  <si>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</si>
  <si>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</si>
  <si>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</si>
  <si>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</si>
  <si>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</si>
  <si>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</si>
  <si>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</si>
  <si>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</si>
  <si>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</si>
  <si>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</si>
  <si>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</si>
  <si>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</si>
  <si>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</si>
  <si>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</si>
  <si>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</si>
  <si>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</si>
  <si>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</si>
  <si>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</si>
  <si>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</si>
  <si>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</si>
  <si>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</si>
  <si>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</si>
  <si>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</si>
  <si>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</si>
  <si>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</si>
  <si>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</si>
  <si>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</si>
  <si>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</si>
  <si>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</si>
  <si>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</si>
  <si>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</si>
  <si>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</si>
  <si>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</si>
  <si>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</si>
  <si>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</si>
  <si>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</si>
  <si>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</si>
  <si>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</si>
  <si>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</si>
  <si>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</si>
  <si>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</si>
  <si>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</si>
  <si>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</si>
  <si>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</si>
  <si>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</si>
  <si>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</si>
  <si>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</si>
  <si>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</si>
  <si>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</si>
  <si>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</si>
  <si>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</si>
  <si>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</si>
  <si>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</si>
  <si>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</si>
  <si>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</si>
  <si>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</si>
  <si>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</si>
  <si>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</si>
  <si>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</si>
  <si>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</si>
  <si>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</si>
  <si>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</si>
  <si>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</si>
  <si>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</si>
  <si>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</si>
  <si>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</si>
  <si>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</si>
  <si>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</si>
  <si>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</si>
  <si>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</si>
  <si>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</si>
  <si>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</si>
  <si>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</si>
  <si>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</si>
  <si>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</si>
  <si>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</si>
  <si>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</si>
  <si>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</si>
  <si>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</si>
  <si>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</si>
  <si>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</si>
  <si>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</si>
  <si>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</si>
  <si>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</si>
  <si>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</si>
  <si>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</si>
  <si>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</si>
  <si>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</si>
  <si>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</si>
  <si>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</si>
  <si>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</si>
  <si>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</si>
  <si>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</si>
  <si>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</si>
  <si>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</si>
  <si>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</si>
  <si>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</si>
  <si>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</si>
  <si>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</si>
  <si>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</si>
  <si>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</si>
  <si>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</si>
  <si>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</si>
  <si>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</si>
  <si>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</si>
  <si>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</si>
  <si>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</si>
  <si>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</si>
  <si>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</si>
  <si>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</si>
  <si>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</si>
  <si>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</si>
  <si>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</si>
  <si>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</si>
  <si>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</si>
  <si>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</si>
  <si>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</si>
  <si>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</si>
  <si>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</si>
  <si>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</si>
  <si>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</si>
  <si>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</si>
  <si>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</si>
  <si>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</si>
  <si>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</si>
  <si>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</si>
  <si>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</si>
  <si>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</si>
  <si>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</si>
  <si>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</si>
  <si>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</si>
  <si>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</si>
  <si>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</si>
  <si>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</si>
  <si>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</si>
  <si>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</si>
  <si>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</si>
  <si>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</si>
  <si>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</si>
  <si>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</si>
  <si>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</si>
  <si>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</si>
  <si>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</si>
  <si>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</si>
  <si>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</si>
  <si>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</si>
  <si>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</si>
  <si>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</si>
  <si>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</si>
  <si>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</si>
  <si>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</si>
  <si>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</si>
  <si>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</si>
  <si>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</si>
  <si>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</si>
  <si>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</si>
  <si>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</si>
  <si>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</si>
  <si>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</si>
  <si>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</si>
  <si>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</si>
  <si>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</si>
  <si>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</si>
  <si>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</si>
  <si>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</si>
  <si>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</si>
  <si>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</si>
  <si>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</si>
  <si>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</si>
  <si>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</si>
  <si>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</si>
  <si>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</si>
  <si>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</si>
  <si>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</si>
  <si>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</si>
  <si>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</si>
  <si>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</si>
  <si>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</si>
  <si>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</si>
  <si>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</si>
  <si>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</si>
  <si>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</si>
  <si>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</si>
  <si>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</si>
  <si>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</si>
  <si>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</si>
  <si>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</si>
  <si>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</si>
  <si>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</si>
  <si>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</si>
  <si>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</si>
  <si>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</si>
  <si>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</si>
  <si>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</si>
  <si>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</si>
  <si>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</si>
  <si>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</si>
  <si>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</si>
  <si>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</si>
  <si>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</si>
  <si>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</si>
  <si>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</si>
  <si>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</si>
  <si>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</si>
  <si>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</si>
  <si>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</si>
  <si>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</si>
  <si>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</si>
  <si>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</si>
  <si>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</si>
  <si>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</si>
  <si>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</si>
  <si>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</si>
  <si>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</si>
  <si>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</si>
  <si>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</si>
  <si>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</si>
  <si>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</si>
  <si>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</si>
  <si>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</si>
  <si>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</si>
  <si>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</si>
  <si>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</si>
  <si>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</si>
  <si>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</si>
  <si>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</si>
  <si>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</si>
  <si>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</si>
  <si>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</si>
  <si>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</si>
  <si>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</si>
  <si>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</si>
  <si>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</si>
  <si>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</si>
  <si>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</si>
  <si>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</si>
  <si>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</si>
  <si>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</si>
  <si>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</si>
  <si>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</si>
  <si>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</si>
  <si>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</si>
  <si>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</si>
  <si>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</si>
  <si>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</si>
  <si>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</si>
  <si>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</si>
  <si>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</si>
  <si>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</si>
  <si>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</si>
  <si>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</si>
  <si>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</si>
  <si>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</si>
  <si>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</si>
  <si>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</si>
  <si>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</si>
  <si>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</si>
  <si>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</si>
  <si>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</si>
  <si>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</si>
  <si>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</si>
  <si>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</si>
  <si>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</si>
  <si>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</si>
  <si>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</si>
  <si>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</si>
  <si>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</si>
  <si>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</si>
  <si>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</si>
  <si>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</si>
  <si>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</si>
  <si>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</si>
  <si>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</si>
  <si>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</si>
  <si>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</si>
  <si>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</si>
  <si>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</si>
  <si>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</si>
  <si>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</si>
  <si>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</si>
  <si>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</si>
  <si>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</si>
  <si>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</si>
  <si>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</si>
  <si>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</si>
  <si>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</si>
  <si>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</si>
  <si>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</si>
  <si>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</si>
  <si>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</si>
  <si>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</si>
  <si>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</si>
  <si>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</si>
  <si>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</si>
  <si>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</si>
  <si>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</si>
  <si>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</si>
  <si>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</si>
  <si>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</si>
  <si>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</si>
  <si>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</si>
  <si>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</si>
  <si>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</si>
  <si>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</si>
  <si>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</si>
  <si>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</si>
  <si>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</si>
  <si>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</si>
  <si>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</si>
  <si>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</si>
  <si>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</si>
  <si>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</si>
  <si>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</si>
  <si>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</si>
  <si>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</si>
  <si>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</si>
  <si>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</si>
  <si>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</si>
  <si>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</si>
  <si>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</si>
  <si>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</si>
  <si>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</si>
  <si>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</si>
  <si>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</si>
  <si>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</si>
  <si>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</si>
  <si>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</si>
  <si>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</si>
  <si>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</si>
  <si>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</si>
  <si>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</si>
  <si>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</si>
  <si>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</si>
  <si>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</si>
  <si>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</si>
  <si>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</si>
  <si>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</si>
  <si>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</si>
  <si>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</si>
  <si>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</si>
  <si>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</si>
  <si>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</si>
  <si>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</si>
  <si>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</si>
  <si>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</si>
  <si>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</si>
  <si>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</si>
  <si>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</si>
  <si>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</si>
  <si>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</si>
  <si>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</si>
  <si>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</si>
  <si>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</si>
  <si>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</si>
  <si>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</si>
  <si>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</si>
  <si>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</si>
  <si>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</si>
  <si>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</si>
  <si>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</si>
  <si>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</si>
  <si>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</si>
  <si>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</si>
  <si>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</si>
  <si>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</si>
  <si>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</si>
  <si>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</si>
  <si>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</si>
  <si>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</si>
  <si>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</si>
  <si>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</si>
  <si>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</si>
  <si>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</si>
  <si>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</si>
  <si>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</si>
  <si>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</si>
  <si>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</si>
  <si>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</si>
  <si>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</si>
  <si>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</si>
  <si>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</si>
  <si>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</si>
  <si>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</si>
  <si>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</si>
  <si>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</si>
  <si>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</si>
  <si>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</si>
  <si>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</si>
  <si>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</si>
  <si>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</si>
  <si>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</si>
  <si>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</si>
  <si>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</si>
  <si>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</si>
  <si>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</si>
  <si>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</si>
  <si>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</si>
  <si>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</si>
  <si>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</si>
  <si>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</si>
  <si>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</si>
  <si>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</si>
  <si>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</si>
  <si>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</si>
  <si>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</si>
  <si>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</si>
  <si>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</si>
  <si>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</si>
  <si>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</si>
  <si>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</si>
  <si>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</si>
  <si>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</si>
  <si>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</si>
  <si>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</si>
  <si>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</si>
  <si>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</si>
  <si>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</si>
  <si>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</si>
  <si>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</si>
  <si>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</si>
  <si>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</si>
  <si>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</si>
  <si>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</si>
  <si>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</si>
  <si>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</si>
  <si>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</si>
  <si>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</si>
  <si>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</si>
  <si>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</si>
  <si>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</si>
  <si>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</si>
  <si>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</si>
  <si>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</si>
  <si>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</si>
  <si>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</si>
  <si>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</si>
  <si>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</si>
  <si>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</si>
  <si>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</si>
  <si>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</si>
  <si>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</si>
  <si>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</si>
  <si>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</si>
  <si>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</si>
  <si>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</si>
  <si>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</si>
  <si>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</si>
  <si>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</si>
  <si>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</si>
  <si>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</si>
  <si>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</si>
  <si>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</si>
  <si>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</si>
  <si>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</si>
  <si>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</si>
  <si>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</si>
  <si>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</si>
  <si>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</si>
  <si>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</si>
  <si>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</si>
  <si>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</si>
  <si>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</si>
  <si>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</si>
  <si>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</si>
  <si>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</si>
  <si>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</si>
  <si>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</si>
  <si>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</si>
  <si>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</si>
  <si>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</si>
  <si>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</si>
  <si>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</si>
  <si>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</si>
  <si>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</si>
  <si>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</si>
  <si>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</si>
  <si>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</si>
  <si>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</si>
  <si>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</si>
  <si>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</si>
  <si>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</si>
  <si>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</si>
  <si>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</si>
  <si>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</si>
  <si>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</si>
  <si>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</si>
  <si>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</si>
  <si>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</si>
  <si>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</si>
  <si>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</si>
  <si>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</si>
  <si>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</si>
  <si>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</si>
  <si>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</si>
  <si>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</si>
  <si>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</si>
  <si>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</si>
  <si>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</si>
  <si>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</si>
  <si>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</si>
  <si>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</si>
  <si>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</si>
  <si>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</si>
  <si>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</si>
  <si>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</si>
  <si>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</si>
  <si>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</si>
  <si>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</si>
  <si>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</si>
  <si>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</si>
  <si>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</si>
  <si>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</si>
  <si>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</si>
  <si>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</si>
  <si>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</si>
  <si>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</si>
  <si>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</si>
  <si>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</si>
  <si>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</si>
  <si>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</si>
  <si>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</si>
  <si>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</si>
  <si>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</si>
  <si>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</si>
  <si>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</si>
  <si>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</si>
  <si>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</si>
  <si>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</si>
  <si>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</si>
  <si>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</si>
  <si>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</si>
  <si>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</si>
  <si>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</si>
  <si>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</si>
  <si>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</si>
  <si>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</si>
  <si>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</si>
  <si>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</si>
  <si>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</si>
  <si>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</si>
  <si>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</si>
  <si>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</si>
  <si>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</si>
  <si>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</si>
  <si>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</si>
  <si>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</si>
  <si>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</si>
  <si>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</si>
  <si>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</si>
  <si>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</si>
  <si>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</si>
  <si>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</si>
  <si>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</si>
  <si>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</si>
  <si>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</si>
  <si>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</si>
  <si>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</si>
  <si>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</si>
  <si>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</si>
  <si>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</si>
  <si>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</si>
  <si>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</si>
  <si>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</si>
  <si>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</si>
  <si>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</si>
  <si>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</si>
  <si>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</si>
  <si>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</si>
  <si>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</si>
  <si>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</si>
  <si>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</si>
  <si>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</si>
  <si>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</si>
  <si>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</si>
  <si>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</si>
  <si>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</si>
  <si>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</si>
  <si>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</si>
  <si>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</si>
  <si>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</si>
  <si>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</si>
  <si>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</si>
  <si>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</si>
  <si>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</si>
  <si>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</si>
  <si>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</si>
  <si>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</si>
  <si>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</si>
  <si>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</si>
  <si>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</si>
  <si>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</si>
  <si>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</si>
  <si>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</si>
  <si>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</si>
  <si>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</si>
  <si>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</si>
  <si>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</si>
  <si>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</si>
  <si>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</si>
  <si>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</si>
  <si>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</si>
  <si>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</si>
  <si>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</si>
  <si>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</si>
  <si>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</si>
  <si>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</si>
  <si>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</si>
  <si>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</si>
  <si>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</si>
  <si>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</si>
  <si>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</si>
  <si>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</si>
  <si>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</si>
  <si>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</si>
  <si>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</si>
  <si>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</si>
  <si>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</si>
  <si>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</si>
  <si>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</si>
  <si>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</si>
  <si>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</si>
  <si>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</si>
  <si>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</si>
  <si>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</si>
  <si>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</si>
  <si>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</si>
  <si>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</si>
  <si>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</si>
  <si>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</si>
  <si>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</si>
  <si>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</si>
  <si>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</si>
  <si>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</si>
  <si>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</si>
  <si>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</si>
  <si>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</si>
  <si>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</si>
  <si>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</si>
  <si>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</si>
  <si>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</si>
  <si>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</si>
  <si>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</si>
  <si>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</si>
  <si>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</si>
  <si>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</si>
  <si>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</si>
  <si>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</si>
  <si>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</si>
  <si>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</si>
  <si>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</si>
  <si>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</si>
  <si>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</si>
  <si>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</si>
  <si>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</si>
  <si>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</si>
  <si>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</si>
  <si>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</si>
  <si>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</si>
  <si>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</si>
  <si>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</si>
  <si>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</si>
  <si>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</si>
  <si>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</si>
  <si>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</si>
  <si>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</si>
  <si>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</si>
  <si>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</si>
  <si>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</si>
  <si>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</si>
  <si>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</si>
  <si>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</si>
  <si>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</si>
  <si>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</si>
  <si>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</si>
  <si>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</si>
  <si>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</si>
  <si>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</si>
  <si>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</si>
  <si>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</si>
  <si>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</si>
  <si>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</si>
  <si>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</si>
  <si>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</si>
  <si>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</si>
  <si>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</si>
  <si>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</si>
  <si>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</si>
  <si>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</si>
  <si>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</si>
  <si>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</si>
  <si>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</si>
  <si>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</si>
  <si>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</si>
  <si>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</si>
  <si>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</si>
  <si>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</si>
  <si>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</si>
  <si>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</si>
  <si>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</si>
  <si>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</si>
  <si>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</si>
  <si>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</si>
  <si>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</si>
  <si>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</si>
  <si>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</si>
  <si>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</si>
  <si>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</si>
  <si>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</si>
  <si>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</si>
  <si>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</si>
  <si>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</si>
  <si>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</si>
  <si>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</si>
  <si>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</si>
  <si>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</si>
  <si>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</si>
  <si>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</si>
  <si>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</si>
  <si>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</si>
  <si>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</si>
  <si>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</si>
  <si>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</si>
  <si>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</si>
  <si>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</si>
  <si>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</si>
  <si>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</si>
  <si>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</si>
  <si>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</si>
  <si>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</si>
  <si>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</si>
  <si>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</si>
  <si>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</si>
  <si>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</si>
  <si>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</si>
  <si>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</si>
  <si>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</si>
  <si>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</si>
  <si>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</si>
  <si>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</si>
  <si>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</si>
  <si>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</si>
  <si>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</si>
  <si>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</si>
  <si>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</si>
  <si>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</si>
  <si>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</si>
  <si>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</si>
  <si>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</si>
  <si>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</si>
  <si>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</si>
  <si>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</si>
  <si>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</si>
  <si>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</si>
  <si>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</si>
  <si>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</si>
  <si>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</si>
  <si>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</si>
  <si>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</si>
  <si>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</si>
  <si>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</si>
  <si>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</si>
  <si>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</si>
  <si>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</si>
  <si>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</si>
  <si>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</si>
  <si>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</si>
  <si>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</si>
  <si>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</si>
  <si>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</si>
  <si>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</si>
  <si>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</si>
  <si>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</si>
  <si>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</si>
  <si>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</si>
  <si>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</si>
  <si>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</si>
  <si>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</si>
  <si>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</si>
  <si>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</si>
  <si>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</si>
  <si>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</si>
  <si>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</si>
  <si>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</si>
  <si>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</si>
  <si>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</si>
  <si>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</si>
  <si>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</si>
  <si>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</si>
  <si>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</si>
  <si>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</si>
  <si>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</si>
  <si>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</si>
  <si>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</si>
  <si>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</si>
  <si>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</si>
  <si>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</si>
  <si>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</si>
  <si>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</si>
  <si>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</si>
  <si>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</si>
  <si>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</si>
  <si>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</si>
  <si>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</si>
  <si>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</si>
  <si>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</si>
  <si>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</si>
  <si>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</si>
  <si>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</si>
  <si>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</si>
  <si>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</si>
  <si>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</si>
  <si>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</si>
  <si>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</si>
  <si>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</si>
  <si>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</si>
  <si>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</si>
  <si>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</si>
  <si>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</si>
  <si>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</si>
  <si>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</si>
  <si>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</si>
  <si>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</si>
  <si>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</si>
  <si>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</si>
  <si>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</si>
  <si>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</si>
  <si>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</si>
  <si>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</si>
  <si>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</si>
  <si>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</si>
  <si>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</si>
  <si>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</si>
  <si>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</si>
  <si>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</si>
  <si>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</si>
  <si>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</si>
  <si>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</si>
  <si>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</si>
  <si>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</si>
  <si>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</si>
  <si>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</si>
  <si>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</si>
  <si>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</si>
  <si>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</si>
  <si>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</si>
  <si>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</si>
  <si>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</si>
  <si>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</si>
  <si>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</si>
  <si>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</si>
  <si>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</si>
  <si>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</si>
  <si>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</si>
  <si>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</si>
  <si>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</si>
  <si>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</si>
  <si>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</si>
  <si>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</si>
  <si>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</si>
  <si>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</si>
  <si>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</si>
  <si>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</si>
  <si>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</si>
  <si>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</si>
  <si>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</si>
  <si>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</si>
  <si>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</si>
  <si>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</si>
  <si>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</si>
  <si>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</si>
  <si>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</si>
  <si>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</si>
  <si>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</si>
  <si>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</si>
  <si>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</si>
  <si>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</si>
  <si>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</si>
  <si>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</si>
  <si>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</si>
  <si>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</si>
  <si>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</si>
  <si>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</si>
  <si>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</si>
  <si>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</si>
  <si>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</si>
  <si>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</si>
  <si>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</si>
  <si>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</si>
  <si>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</si>
  <si>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</si>
  <si>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</si>
  <si>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</si>
  <si>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</si>
  <si>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</si>
  <si>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</si>
  <si>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</si>
  <si>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</si>
  <si>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</si>
  <si>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</si>
  <si>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</si>
  <si>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</si>
  <si>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</si>
  <si>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</si>
  <si>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</si>
  <si>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</si>
  <si>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</si>
  <si>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</si>
  <si>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</si>
  <si>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</si>
  <si>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</si>
  <si>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</si>
  <si>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</si>
  <si>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</si>
  <si>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</si>
  <si>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</si>
  <si>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</si>
  <si>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</si>
  <si>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</si>
  <si>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</si>
  <si>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</si>
  <si>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</si>
  <si>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</si>
  <si>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</si>
  <si>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</si>
  <si>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</si>
  <si>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</si>
  <si>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</si>
  <si>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</si>
  <si>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</si>
  <si>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</si>
  <si>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</si>
  <si>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</si>
  <si>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</si>
  <si>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</si>
  <si>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</si>
  <si>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</si>
  <si>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</si>
  <si>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</si>
  <si>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</si>
  <si>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</si>
  <si>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</si>
  <si>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</si>
  <si>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</si>
  <si>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</si>
  <si>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</si>
  <si>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</si>
  <si>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</si>
  <si>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</si>
  <si>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</si>
  <si>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</si>
  <si>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</si>
  <si>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</si>
  <si>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</si>
  <si>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</si>
  <si>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</si>
  <si>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</si>
  <si>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</si>
  <si>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</si>
  <si>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</si>
  <si>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</si>
  <si>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</si>
  <si>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</si>
  <si>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</si>
  <si>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</si>
  <si>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</si>
  <si>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</si>
  <si>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</si>
  <si>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</si>
  <si>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</si>
  <si>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</si>
  <si>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</si>
  <si>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</si>
  <si>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</si>
  <si>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</si>
  <si>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</si>
  <si>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</si>
  <si>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</si>
  <si>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</si>
  <si>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</si>
  <si>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</si>
  <si>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</si>
  <si>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</si>
  <si>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</si>
  <si>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</si>
  <si>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</si>
  <si>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</si>
  <si>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</si>
  <si>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</si>
  <si>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</si>
  <si>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</si>
  <si>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</si>
  <si>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</si>
  <si>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</si>
  <si>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</si>
  <si>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</si>
  <si>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</si>
  <si>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</si>
  <si>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</si>
  <si>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</si>
  <si>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</si>
  <si>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</si>
  <si>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</si>
  <si>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</si>
  <si>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</si>
  <si>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</si>
  <si>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</si>
  <si>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</si>
  <si>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</si>
  <si>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</si>
  <si>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</si>
  <si>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</si>
  <si>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</si>
  <si>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</si>
  <si>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</si>
  <si>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</si>
  <si>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</si>
  <si>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</si>
  <si>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</si>
  <si>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</si>
  <si>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</si>
  <si>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</si>
  <si>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</si>
  <si>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</si>
  <si>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</si>
  <si>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</si>
  <si>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</si>
  <si>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</si>
  <si>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</si>
  <si>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</si>
  <si>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</si>
  <si>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</si>
  <si>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</si>
  <si>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</si>
  <si>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</si>
  <si>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</si>
  <si>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</si>
  <si>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</si>
  <si>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</si>
  <si>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</si>
  <si>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</si>
  <si>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</si>
  <si>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</si>
  <si>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</si>
  <si>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</si>
  <si>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</si>
  <si>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</si>
  <si>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</si>
  <si>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</si>
  <si>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</si>
  <si>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</si>
  <si>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</si>
  <si>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</si>
  <si>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</si>
  <si>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</si>
  <si>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</si>
  <si>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</si>
  <si>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</si>
  <si>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</si>
  <si>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</si>
  <si>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</si>
  <si>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</si>
  <si>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</si>
  <si>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</si>
  <si>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</si>
  <si>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</si>
  <si>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</si>
  <si>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</si>
  <si>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</si>
  <si>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</si>
  <si>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</si>
  <si>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</si>
  <si>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</si>
  <si>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</si>
  <si>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</si>
  <si>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</si>
  <si>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</si>
  <si>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</si>
  <si>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</si>
  <si>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</si>
  <si>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</si>
  <si>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</si>
  <si>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</si>
  <si>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</si>
  <si>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</si>
  <si>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</si>
  <si>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</si>
  <si>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</si>
  <si>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</si>
  <si>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</si>
  <si>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</si>
  <si>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</si>
  <si>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</si>
  <si>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</si>
  <si>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</si>
  <si>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</si>
  <si>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</si>
  <si>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</si>
  <si>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</si>
  <si>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</si>
  <si>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</si>
  <si>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</si>
  <si>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</si>
  <si>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</si>
  <si>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</si>
  <si>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</si>
  <si>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</si>
  <si>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</si>
  <si>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</si>
  <si>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</si>
  <si>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</si>
  <si>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</si>
  <si>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</si>
  <si>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</si>
  <si>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</si>
  <si>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</si>
  <si>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</si>
  <si>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</si>
  <si>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</si>
  <si>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</si>
  <si>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</si>
  <si>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</si>
  <si>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</si>
  <si>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</si>
  <si>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</si>
  <si>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</si>
  <si>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</si>
  <si>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</si>
  <si>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</si>
  <si>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</si>
  <si>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</si>
  <si>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</si>
  <si>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</si>
  <si>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</si>
  <si>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</si>
  <si>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</si>
  <si>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</si>
  <si>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</si>
  <si>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</si>
  <si>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</si>
  <si>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</si>
  <si>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</si>
  <si>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</si>
  <si>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</si>
  <si>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</si>
  <si>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</si>
  <si>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</si>
  <si>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</si>
  <si>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</si>
  <si>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</si>
  <si>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</si>
  <si>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</si>
  <si>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</si>
  <si>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</si>
  <si>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</si>
  <si>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</si>
  <si>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</si>
  <si>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</si>
  <si>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</si>
  <si>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</si>
  <si>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</si>
  <si>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</si>
  <si>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</si>
  <si>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</si>
  <si>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</si>
  <si>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</si>
  <si>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</si>
  <si>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</si>
  <si>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</si>
  <si>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</si>
  <si>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</si>
  <si>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</si>
  <si>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</si>
  <si>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</si>
  <si>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</si>
  <si>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</si>
  <si>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</si>
  <si>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</si>
  <si>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</si>
  <si>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</si>
  <si>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</si>
  <si>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</si>
  <si>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</si>
  <si>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</si>
  <si>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</si>
  <si>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</si>
  <si>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</si>
  <si>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</si>
  <si>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</si>
  <si>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</si>
  <si>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</si>
  <si>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</si>
  <si>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</si>
  <si>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</si>
  <si>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</si>
  <si>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</si>
  <si>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</si>
  <si>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</si>
  <si>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</si>
  <si>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</si>
  <si>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</si>
  <si>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</si>
  <si>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</si>
  <si>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</si>
  <si>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</si>
  <si>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</si>
  <si>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</si>
  <si>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</si>
  <si>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</si>
  <si>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</si>
  <si>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</si>
  <si>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</si>
  <si>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</si>
  <si>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</si>
  <si>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</si>
  <si>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</si>
  <si>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</si>
  <si>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</si>
  <si>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</si>
  <si>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</si>
  <si>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</si>
  <si>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</si>
  <si>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</si>
  <si>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</si>
  <si>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</si>
  <si>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</si>
  <si>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</si>
  <si>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</si>
  <si>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</si>
  <si>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</si>
  <si>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</si>
  <si>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</si>
  <si>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</si>
  <si>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</si>
  <si>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</si>
  <si>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</si>
  <si>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</si>
  <si>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</si>
  <si>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</si>
  <si>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</si>
  <si>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</si>
  <si>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</si>
  <si>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</si>
  <si>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</si>
  <si>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</si>
  <si>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</si>
  <si>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</si>
  <si>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</si>
  <si>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</si>
  <si>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</si>
  <si>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</si>
  <si>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</si>
  <si>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</si>
  <si>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</si>
  <si>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</si>
  <si>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</si>
  <si>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</si>
  <si>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</si>
  <si>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</si>
  <si>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</si>
  <si>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</si>
  <si>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</si>
  <si>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</si>
  <si>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</si>
  <si>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</si>
  <si>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</si>
  <si>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</si>
  <si>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</si>
  <si>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</si>
  <si>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</si>
  <si>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</si>
  <si>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</si>
  <si>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</si>
  <si>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</si>
  <si>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</si>
  <si>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</si>
  <si>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</si>
  <si>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</si>
  <si>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</si>
  <si>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</si>
  <si>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</si>
  <si>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</si>
  <si>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</si>
  <si>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</si>
  <si>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</si>
  <si>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</si>
  <si>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</si>
  <si>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</si>
  <si>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</si>
  <si>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</si>
  <si>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</si>
  <si>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</si>
  <si>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</si>
  <si>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</si>
  <si>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</si>
  <si>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</si>
  <si>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</si>
  <si>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</si>
  <si>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</si>
  <si>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</si>
  <si>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</si>
  <si>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</si>
  <si>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</si>
  <si>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</si>
  <si>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</si>
  <si>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</si>
  <si>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</si>
  <si>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</si>
  <si>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</si>
  <si>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</si>
  <si>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</si>
  <si>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</si>
  <si>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</si>
  <si>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</si>
  <si>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</si>
  <si>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</si>
  <si>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</si>
  <si>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</si>
  <si>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</si>
  <si>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</si>
  <si>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</si>
  <si>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</si>
  <si>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</si>
  <si>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</si>
  <si>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</si>
  <si>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</si>
  <si>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</si>
  <si>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</si>
  <si>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</si>
  <si>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</si>
  <si>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</si>
  <si>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</si>
  <si>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</si>
  <si>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</si>
  <si>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</si>
  <si>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</si>
  <si>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</si>
  <si>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</si>
  <si>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</si>
  <si>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</si>
  <si>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</si>
  <si>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</si>
  <si>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</si>
  <si>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</si>
  <si>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</si>
  <si>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</si>
  <si>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</si>
  <si>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</si>
  <si>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</si>
  <si>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</si>
  <si>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</si>
  <si>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</si>
  <si>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</si>
  <si>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</si>
  <si>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</si>
  <si>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</si>
  <si>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</si>
  <si>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</si>
  <si>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</si>
  <si>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</si>
  <si>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</si>
  <si>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</si>
  <si>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</si>
  <si>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</si>
  <si>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</si>
  <si>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</si>
  <si>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</si>
  <si>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</si>
  <si>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</si>
  <si>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</si>
  <si>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</si>
  <si>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</si>
  <si>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</si>
  <si>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</si>
  <si>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</si>
  <si>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</si>
  <si>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</si>
  <si>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</si>
  <si>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</si>
  <si>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</si>
  <si>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</si>
  <si>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</si>
  <si>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</si>
  <si>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</si>
  <si>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</si>
  <si>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</si>
  <si>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</si>
  <si>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</si>
  <si>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</si>
  <si>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</si>
  <si>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</si>
  <si>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</si>
  <si>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</si>
  <si>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</si>
  <si>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</si>
  <si>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</si>
  <si>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</si>
  <si>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</si>
  <si>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</si>
  <si>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</si>
  <si>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</si>
  <si>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</si>
  <si>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</si>
  <si>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</si>
  <si>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</si>
  <si>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</si>
  <si>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</si>
  <si>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</si>
  <si>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</si>
  <si>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</si>
  <si>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</si>
  <si>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</si>
  <si>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</si>
  <si>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</si>
  <si>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</si>
  <si>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</si>
  <si>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</si>
  <si>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</si>
  <si>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</si>
  <si>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</si>
  <si>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</si>
  <si>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</si>
  <si>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</si>
  <si>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</si>
  <si>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</si>
  <si>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</si>
  <si>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</si>
  <si>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</si>
  <si>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</si>
  <si>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</si>
  <si>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</si>
  <si>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</si>
  <si>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</si>
  <si>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</si>
  <si>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</si>
  <si>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</si>
  <si>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</si>
  <si>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</si>
  <si>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</si>
  <si>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</si>
  <si>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</si>
  <si>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</si>
  <si>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</si>
  <si>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</si>
  <si>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</si>
  <si>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</si>
  <si>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</si>
  <si>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</si>
  <si>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</si>
  <si>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</si>
  <si>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</si>
  <si>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</si>
  <si>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</si>
  <si>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</si>
  <si>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</si>
  <si>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</si>
  <si>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</si>
  <si>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</si>
  <si>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</si>
  <si>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</si>
  <si>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</si>
  <si>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</si>
  <si>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</si>
  <si>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</si>
  <si>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</si>
  <si>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</si>
  <si>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</si>
  <si>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</si>
  <si>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</si>
  <si>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</si>
  <si>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</si>
  <si>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</si>
  <si>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</si>
  <si>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</si>
  <si>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</si>
  <si>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</si>
  <si>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</si>
  <si>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</si>
  <si>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</si>
  <si>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</si>
  <si>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</si>
  <si>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</si>
  <si>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</si>
  <si>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</si>
  <si>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</si>
  <si>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</si>
  <si>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</si>
  <si>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</si>
  <si>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</si>
  <si>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</si>
  <si>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</si>
  <si>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</si>
  <si>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</si>
  <si>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</si>
  <si>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</si>
  <si>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</si>
  <si>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</si>
  <si>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</si>
  <si>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</si>
  <si>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</si>
  <si>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</si>
  <si>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</si>
  <si>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</si>
  <si>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</si>
  <si>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</si>
  <si>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</si>
  <si>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</si>
  <si>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</si>
  <si>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</si>
  <si>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</si>
  <si>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</si>
  <si>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</si>
  <si>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</si>
  <si>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</si>
  <si>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</si>
  <si>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</si>
  <si>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</si>
  <si>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</si>
  <si>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</si>
  <si>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</si>
  <si>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</si>
  <si>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</si>
  <si>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</si>
  <si>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</si>
  <si>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</si>
  <si>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</si>
  <si>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</si>
  <si>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</si>
  <si>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</si>
  <si>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</si>
  <si>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</si>
  <si>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</si>
  <si>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</si>
  <si>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</si>
  <si>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</si>
  <si>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</si>
  <si>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</si>
  <si>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</si>
  <si>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</si>
  <si>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</si>
  <si>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</si>
  <si>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</si>
  <si>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</si>
  <si>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</si>
  <si>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</si>
  <si>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</si>
  <si>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</si>
  <si>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</si>
  <si>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</si>
  <si>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</si>
  <si>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</si>
  <si>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</si>
  <si>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</si>
  <si>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</si>
  <si>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</si>
  <si>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</si>
  <si>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</si>
  <si>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</si>
  <si>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</si>
  <si>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</si>
  <si>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</si>
  <si>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</si>
  <si>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</si>
  <si>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</si>
  <si>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</si>
  <si>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</si>
  <si>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</si>
  <si>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</si>
  <si>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</si>
  <si>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</si>
  <si>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</si>
  <si>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</si>
  <si>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</si>
  <si>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</si>
  <si>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</si>
  <si>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</si>
  <si>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</si>
  <si>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</si>
  <si>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</si>
  <si>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</si>
  <si>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</si>
  <si>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</si>
  <si>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</si>
  <si>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</si>
  <si>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</si>
  <si>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</si>
  <si>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</si>
  <si>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</si>
  <si>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</si>
  <si>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</si>
  <si>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</si>
  <si>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</si>
  <si>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</si>
  <si>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</si>
  <si>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</si>
  <si>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</si>
  <si>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</si>
  <si>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</si>
  <si>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</si>
  <si>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</si>
  <si>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</si>
  <si>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</si>
  <si>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</si>
  <si>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</si>
  <si>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</si>
  <si>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</si>
  <si>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</si>
  <si>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</si>
  <si>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</si>
  <si>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</si>
  <si>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</si>
  <si>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</si>
  <si>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</si>
  <si>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</si>
  <si>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</si>
  <si>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</si>
  <si>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</si>
  <si>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</si>
  <si>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</si>
  <si>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</si>
  <si>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</si>
  <si>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</si>
  <si>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</si>
  <si>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</si>
  <si>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</si>
  <si>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</si>
  <si>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</si>
  <si>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</si>
  <si>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</si>
  <si>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</si>
  <si>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</si>
  <si>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</si>
  <si>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</si>
  <si>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</si>
  <si>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</si>
  <si>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</si>
  <si>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</si>
  <si>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</si>
  <si>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</si>
  <si>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</si>
  <si>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</si>
  <si>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</si>
  <si>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</si>
  <si>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</si>
  <si>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</si>
  <si>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</si>
  <si>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</si>
  <si>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</si>
  <si>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</si>
  <si>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</si>
  <si>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</si>
  <si>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</si>
  <si>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</si>
  <si>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</si>
  <si>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</si>
  <si>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</si>
  <si>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</si>
  <si>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</si>
  <si>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</si>
  <si>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</si>
  <si>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</si>
  <si>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</si>
  <si>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</si>
  <si>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</si>
  <si>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</si>
  <si>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</si>
  <si>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</si>
  <si>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</si>
  <si>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</si>
  <si>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</si>
  <si>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</si>
  <si>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</si>
  <si>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</si>
  <si>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</si>
  <si>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</si>
  <si>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</si>
  <si>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</si>
  <si>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</si>
  <si>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</si>
  <si>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</si>
  <si>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</si>
  <si>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</si>
  <si>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</si>
  <si>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</si>
  <si>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</si>
  <si>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</si>
  <si>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</si>
  <si>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</si>
  <si>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</si>
  <si>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</si>
  <si>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</si>
  <si>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</si>
  <si>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</si>
  <si>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</si>
  <si>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</si>
  <si>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</si>
  <si>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</si>
  <si>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</si>
  <si>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</si>
  <si>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</si>
  <si>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</si>
  <si>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</si>
  <si>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</si>
  <si>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</si>
  <si>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</si>
  <si>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</si>
  <si>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</si>
  <si>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</si>
  <si>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</si>
  <si>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</si>
  <si>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</si>
  <si>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</si>
  <si>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</si>
  <si>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</si>
  <si>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</si>
  <si>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</si>
  <si>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</si>
  <si>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</si>
  <si>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</si>
  <si>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</si>
  <si>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</si>
  <si>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</si>
  <si>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</si>
  <si>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</si>
  <si>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</si>
  <si>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</si>
  <si>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</si>
  <si>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</si>
  <si>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</si>
  <si>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</si>
  <si>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</si>
  <si>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</si>
  <si>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</si>
  <si>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</si>
  <si>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</si>
  <si>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</si>
  <si>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</si>
  <si>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</si>
  <si>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</si>
  <si>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</si>
  <si>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</si>
  <si>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</si>
  <si>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</si>
  <si>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</si>
  <si>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</si>
  <si>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</si>
  <si>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</si>
  <si>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</si>
  <si>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</si>
  <si>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</si>
  <si>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</si>
  <si>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</si>
  <si>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</si>
  <si>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</si>
  <si>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</si>
  <si>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</si>
  <si>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</si>
  <si>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</si>
  <si>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</si>
  <si>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</si>
  <si>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</si>
  <si>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</si>
  <si>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</si>
  <si>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</si>
  <si>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</si>
  <si>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</si>
  <si>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</si>
  <si>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</si>
  <si>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</si>
  <si>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</si>
  <si>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</si>
  <si>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</si>
  <si>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</si>
  <si>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</si>
  <si>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</si>
  <si>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</si>
  <si>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</si>
  <si>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</si>
  <si>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</si>
  <si>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</si>
  <si>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</si>
  <si>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</si>
  <si>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</si>
  <si>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</si>
  <si>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D101</t>
  </si>
  <si>
    <t>Group</t>
  </si>
  <si>
    <t>New Mailbox lock for new owner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</si>
</sst>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41436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10</v>
      </c>
      <c r="H3" s="32" t="s">
        <v>7573</v>
      </c>
      <c r="I3" s="33" t="str">
        <f t="shared" ref="I3:I66" si="1">IF(ISERROR(VLOOKUP(H3,table,2,0)),"INVALID",VLOOKUP(H3,table,2,0))</f>
        <v>4995</v>
      </c>
      <c r="J3" s="43" t="str">
        <f t="shared" ref="J3:J66" si="2">IF(ISERROR(VLOOKUP(H3,table,3,0)),"",VLOOKUP(H3,table,3,0))</f>
        <v>Miscellaneous Income</v>
      </c>
      <c r="K3" s="34" t="s">
        <v>45016</v>
      </c>
      <c r="L3" s="52"/>
      <c r="M3" s="52"/>
      <c r="N3" s="84">
        <f ca="1">TODAY()</f>
        <v>41436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41496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203" yWindow="328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76" workbookViewId="0">
      <selection activeCell="C93" sqref="C93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D101</v>
      </c>
      <c r="C2" s="3" t="str">
        <f>'Billing Adjustment'!D3</f>
        <v>01</v>
      </c>
      <c r="D2" t="str">
        <f>'Billing Adjustment'!H3</f>
        <v>MS</v>
      </c>
      <c r="E2" s="59">
        <f>IF('Billing Adjustment'!A3="","",'Billing Adjustment'!A3)</f>
        <v>41436</v>
      </c>
      <c r="F2" s="12" t="str">
        <f>'Billing Adjustment'!K3</f>
        <v>New Mailbox lock for new owner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2013-06-11T15:09:21Z</dcterms:modified>
</cp:coreProperties>
</file>