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A213" i="11"/>
  <c r="C82" i="11"/>
  <c r="C62" i="11"/>
  <c r="BA349" i="1"/>
  <c r="A340" i="11"/>
  <c r="BA239" i="1"/>
  <c r="BA237" i="1"/>
  <c r="BA235" i="1"/>
  <c r="BA197" i="1"/>
  <c r="BA240" i="1"/>
  <c r="BA236" i="1"/>
  <c r="BA198" i="1"/>
  <c r="BA196" i="1"/>
  <c r="C95" i="11"/>
  <c r="C363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34" i="1" l="1"/>
  <c r="A283" i="11"/>
  <c r="A339" i="11"/>
  <c r="A349" i="11"/>
  <c r="BA308" i="1"/>
  <c r="A311" i="11"/>
  <c r="BA262" i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<sst xmlns="http://schemas.openxmlformats.org/spreadsheetml/2006/main" count="90772" uniqueCount="45104">
  <si>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</si>
  <si>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</si>
  <si>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</si>
  <si>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</si>
  <si>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</si>
  <si>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</si>
  <si>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</si>
  <si>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</si>
  <si>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</si>
  <si>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</si>
  <si>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</si>
  <si>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</si>
  <si>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</si>
  <si>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</si>
  <si>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</si>
  <si>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</si>
  <si>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</si>
  <si>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</si>
  <si>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</si>
  <si>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</si>
  <si>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</si>
  <si>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</si>
  <si>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</si>
  <si>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</si>
  <si>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</si>
  <si>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</si>
  <si>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</si>
  <si>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</si>
  <si>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</si>
  <si>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</si>
  <si>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</si>
  <si>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</si>
  <si>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</si>
  <si>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</si>
  <si>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</si>
  <si>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</si>
  <si>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</si>
  <si>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</si>
  <si>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</si>
  <si>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</si>
  <si>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</si>
  <si>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</si>
  <si>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</si>
  <si>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</si>
  <si>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</si>
  <si>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</si>
  <si>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</si>
  <si>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</si>
  <si>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</si>
  <si>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</si>
  <si>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</si>
  <si>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</si>
  <si>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</si>
  <si>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</si>
  <si>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</si>
  <si>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</si>
  <si>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</si>
  <si>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</si>
  <si>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</si>
  <si>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</si>
  <si>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</si>
  <si>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</si>
  <si>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</si>
  <si>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</si>
  <si>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</si>
  <si>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</si>
  <si>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</si>
  <si>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</si>
  <si>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</si>
  <si>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</si>
  <si>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</si>
  <si>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</si>
  <si>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</si>
  <si>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</si>
  <si>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</si>
  <si>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</si>
  <si>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</si>
  <si>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</si>
  <si>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</si>
  <si>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</si>
  <si>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</si>
  <si>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</si>
  <si>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</si>
  <si>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</si>
  <si>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</si>
  <si>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</si>
  <si>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</si>
  <si>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</si>
  <si>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</si>
  <si>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</si>
  <si>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</si>
  <si>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</si>
  <si>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</si>
  <si>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</si>
  <si>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</si>
  <si>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</si>
  <si>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</si>
  <si>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</si>
  <si>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</si>
  <si>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</si>
  <si>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</si>
  <si>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</si>
  <si>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</si>
  <si>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</si>
  <si>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</si>
  <si>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</si>
  <si>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</si>
  <si>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</si>
  <si>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</si>
  <si>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</si>
  <si>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</si>
  <si>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</si>
  <si>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</si>
  <si>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</si>
  <si>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</si>
  <si>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</si>
  <si>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</si>
  <si>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</si>
  <si>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</si>
  <si>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</si>
  <si>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</si>
  <si>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</si>
  <si>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</si>
  <si>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</si>
  <si>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</si>
  <si>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</si>
  <si>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</si>
  <si>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</si>
  <si>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</si>
  <si>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</si>
  <si>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</si>
  <si>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</si>
  <si>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</si>
  <si>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</si>
  <si>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</si>
  <si>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</si>
  <si>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</si>
  <si>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</si>
  <si>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</si>
  <si>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</si>
  <si>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</si>
  <si>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</si>
  <si>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</si>
  <si>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</si>
  <si>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</si>
  <si>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</si>
  <si>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</si>
  <si>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</si>
  <si>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</si>
  <si>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</si>
  <si>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</si>
  <si>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</si>
  <si>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</si>
  <si>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</si>
  <si>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</si>
  <si>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</si>
  <si>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</si>
  <si>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</si>
  <si>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</si>
  <si>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</si>
  <si>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</si>
  <si>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</si>
  <si>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</si>
  <si>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</si>
  <si>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</si>
  <si>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</si>
  <si>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</si>
  <si>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</si>
  <si>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</si>
  <si>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</si>
  <si>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</si>
  <si>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</si>
  <si>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</si>
  <si>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</si>
  <si>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</si>
  <si>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</si>
  <si>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</si>
  <si>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</si>
  <si>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</si>
  <si>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</si>
  <si>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</si>
  <si>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</si>
  <si>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</si>
  <si>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</si>
  <si>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</si>
  <si>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</si>
  <si>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</si>
  <si>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</si>
  <si>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</si>
  <si>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</si>
  <si>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</si>
  <si>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</si>
  <si>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</si>
  <si>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</si>
  <si>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</si>
  <si>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</si>
  <si>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</si>
  <si>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</si>
  <si>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</si>
  <si>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</si>
  <si>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</si>
  <si>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</si>
  <si>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</si>
  <si>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</si>
  <si>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</si>
  <si>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</si>
  <si>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</si>
  <si>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</si>
  <si>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</si>
  <si>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</si>
  <si>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</si>
  <si>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</si>
  <si>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</si>
  <si>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</si>
  <si>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</si>
  <si>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</si>
  <si>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</si>
  <si>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</si>
  <si>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</si>
  <si>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</si>
  <si>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</si>
  <si>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</si>
  <si>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</si>
  <si>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</si>
  <si>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</si>
  <si>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</si>
  <si>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</si>
  <si>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</si>
  <si>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</si>
  <si>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</si>
  <si>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</si>
  <si>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</si>
  <si>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</si>
  <si>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</si>
  <si>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</si>
  <si>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</si>
  <si>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</si>
  <si>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</si>
  <si>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</si>
  <si>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</si>
  <si>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</si>
  <si>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</si>
  <si>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</si>
  <si>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</si>
  <si>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</si>
  <si>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</si>
  <si>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</si>
  <si>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</si>
  <si>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</si>
  <si>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</si>
  <si>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</si>
  <si>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</si>
  <si>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</si>
  <si>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</si>
  <si>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</si>
  <si>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</si>
  <si>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</si>
  <si>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</si>
  <si>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</si>
  <si>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</si>
  <si>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</si>
  <si>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</si>
  <si>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</si>
  <si>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</si>
  <si>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</si>
  <si>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</si>
  <si>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</si>
  <si>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</si>
  <si>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</si>
  <si>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</si>
  <si>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</si>
  <si>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</si>
  <si>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</si>
  <si>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</si>
  <si>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</si>
  <si>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</si>
  <si>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</si>
  <si>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</si>
  <si>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</si>
  <si>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</si>
  <si>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</si>
  <si>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</si>
  <si>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</si>
  <si>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</si>
  <si>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</si>
  <si>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</si>
  <si>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</si>
  <si>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</si>
  <si>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</si>
  <si>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</si>
  <si>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</si>
  <si>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</si>
  <si>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</si>
  <si>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</si>
  <si>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</si>
  <si>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</si>
  <si>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</si>
  <si>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</si>
  <si>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</si>
  <si>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</si>
  <si>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</si>
  <si>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</si>
  <si>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</si>
  <si>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</si>
  <si>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</si>
  <si>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</si>
  <si>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</si>
  <si>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</si>
  <si>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</si>
  <si>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</si>
  <si>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</si>
  <si>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</si>
  <si>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</si>
  <si>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</si>
  <si>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</si>
  <si>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</si>
  <si>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</si>
  <si>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</si>
  <si>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</si>
  <si>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</si>
  <si>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</si>
  <si>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</si>
  <si>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</si>
  <si>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</si>
  <si>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</si>
  <si>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</si>
  <si>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</si>
  <si>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</si>
  <si>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</si>
  <si>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</si>
  <si>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</si>
  <si>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</si>
  <si>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</si>
  <si>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</si>
  <si>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</si>
  <si>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</si>
  <si>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</si>
  <si>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</si>
  <si>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</si>
  <si>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</si>
  <si>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</si>
  <si>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</si>
  <si>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</si>
  <si>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</si>
  <si>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</si>
  <si>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</si>
  <si>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</si>
  <si>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</si>
  <si>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</si>
  <si>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</si>
  <si>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</si>
  <si>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</si>
  <si>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</si>
  <si>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</si>
  <si>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</si>
  <si>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</si>
  <si>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</si>
  <si>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</si>
  <si>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</si>
  <si>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</si>
  <si>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</si>
  <si>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</si>
  <si>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</si>
  <si>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</si>
  <si>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</si>
  <si>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</si>
  <si>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</si>
  <si>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</si>
  <si>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</si>
  <si>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</si>
  <si>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</si>
  <si>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</si>
  <si>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</si>
  <si>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</si>
  <si>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</si>
  <si>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</si>
  <si>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</si>
  <si>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</si>
  <si>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</si>
  <si>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</si>
  <si>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</si>
  <si>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</si>
  <si>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</si>
  <si>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</si>
  <si>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</si>
  <si>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</si>
  <si>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</si>
  <si>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</si>
  <si>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</si>
  <si>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</si>
  <si>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</si>
  <si>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</si>
  <si>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</si>
  <si>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</si>
  <si>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</si>
  <si>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</si>
  <si>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</si>
  <si>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</si>
  <si>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</si>
  <si>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</si>
  <si>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</si>
  <si>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</si>
  <si>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</si>
  <si>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</si>
  <si>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</si>
  <si>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</si>
  <si>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</si>
  <si>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</si>
  <si>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</si>
  <si>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</si>
  <si>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</si>
  <si>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</si>
  <si>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</si>
  <si>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</si>
  <si>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</si>
  <si>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</si>
  <si>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</si>
  <si>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</si>
  <si>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</si>
  <si>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</si>
  <si>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</si>
  <si>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</si>
  <si>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</si>
  <si>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</si>
  <si>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</si>
  <si>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</si>
  <si>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</si>
  <si>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</si>
  <si>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</si>
  <si>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</si>
  <si>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</si>
  <si>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</si>
  <si>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</si>
  <si>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</si>
  <si>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</si>
  <si>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</si>
  <si>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</si>
  <si>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</si>
  <si>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</si>
  <si>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</si>
  <si>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</si>
  <si>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</si>
  <si>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</si>
  <si>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</si>
  <si>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</si>
  <si>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</si>
  <si>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</si>
  <si>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</si>
  <si>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</si>
  <si>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</si>
  <si>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</si>
  <si>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</si>
  <si>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</si>
  <si>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</si>
  <si>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</si>
  <si>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</si>
  <si>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</si>
  <si>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</si>
  <si>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</si>
  <si>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</si>
  <si>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</si>
  <si>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</si>
  <si>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</si>
  <si>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</si>
  <si>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</si>
  <si>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</si>
  <si>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</si>
  <si>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</si>
  <si>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</si>
  <si>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</si>
  <si>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</si>
  <si>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</si>
  <si>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</si>
  <si>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</si>
  <si>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</si>
  <si>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</si>
  <si>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</si>
  <si>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</si>
  <si>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</si>
  <si>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</si>
  <si>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</si>
  <si>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</si>
  <si>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</si>
  <si>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</si>
  <si>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</si>
  <si>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</si>
  <si>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</si>
  <si>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</si>
  <si>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</si>
  <si>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</si>
  <si>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</si>
  <si>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</si>
  <si>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</si>
  <si>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</si>
  <si>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</si>
  <si>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</si>
  <si>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</si>
  <si>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</si>
  <si>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</si>
  <si>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</si>
  <si>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</si>
  <si>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</si>
  <si>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</si>
  <si>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</si>
  <si>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</si>
  <si>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</si>
  <si>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</si>
  <si>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</si>
  <si>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</si>
  <si>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</si>
  <si>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</si>
  <si>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</si>
  <si>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</si>
  <si>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</si>
  <si>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</si>
  <si>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</si>
  <si>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</si>
  <si>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</si>
  <si>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</si>
  <si>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</si>
  <si>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</si>
  <si>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</si>
  <si>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</si>
  <si>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</si>
  <si>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</si>
  <si>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</si>
  <si>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</si>
  <si>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</si>
  <si>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</si>
  <si>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</si>
  <si>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</si>
  <si>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</si>
  <si>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</si>
  <si>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</si>
  <si>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</si>
  <si>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</si>
  <si>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</si>
  <si>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</si>
  <si>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</si>
  <si>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</si>
  <si>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</si>
  <si>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</si>
  <si>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</si>
  <si>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</si>
  <si>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</si>
  <si>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</si>
  <si>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</si>
  <si>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</si>
  <si>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</si>
  <si>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</si>
  <si>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</si>
  <si>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</si>
  <si>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</si>
  <si>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</si>
  <si>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</si>
  <si>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</si>
  <si>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</si>
  <si>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</si>
  <si>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</si>
  <si>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</si>
  <si>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</si>
  <si>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</si>
  <si>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</si>
  <si>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</si>
  <si>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</si>
  <si>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</si>
  <si>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</si>
  <si>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</si>
  <si>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</si>
  <si>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</si>
  <si>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</si>
  <si>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</si>
  <si>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</si>
  <si>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</si>
  <si>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</si>
  <si>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</si>
  <si>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</si>
  <si>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</si>
  <si>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</si>
  <si>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</si>
  <si>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</si>
  <si>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</si>
  <si>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</si>
  <si>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</si>
  <si>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</si>
  <si>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</si>
  <si>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</si>
  <si>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</si>
  <si>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</si>
  <si>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</si>
  <si>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</si>
  <si>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</si>
  <si>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</si>
  <si>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</si>
  <si>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</si>
  <si>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</si>
  <si>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</si>
  <si>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</si>
  <si>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</si>
  <si>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</si>
  <si>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</si>
  <si>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</si>
  <si>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</si>
  <si>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</si>
  <si>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</si>
  <si>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</si>
  <si>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</si>
  <si>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</si>
  <si>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</si>
  <si>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</si>
  <si>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</si>
  <si>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</si>
  <si>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</si>
  <si>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</si>
  <si>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</si>
  <si>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</si>
  <si>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</si>
  <si>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</si>
  <si>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</si>
  <si>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</si>
  <si>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</si>
  <si>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</si>
  <si>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</si>
  <si>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</si>
  <si>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</si>
  <si>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</si>
  <si>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</si>
  <si>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</si>
  <si>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</si>
  <si>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</si>
  <si>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</si>
  <si>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</si>
  <si>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</si>
  <si>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</si>
  <si>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</si>
  <si>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</si>
  <si>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</si>
  <si>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</si>
  <si>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</si>
  <si>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</si>
  <si>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</si>
  <si>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</si>
  <si>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</si>
  <si>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</si>
  <si>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</si>
  <si>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</si>
  <si>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</si>
  <si>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</si>
  <si>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</si>
  <si>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</si>
  <si>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</si>
  <si>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</si>
  <si>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</si>
  <si>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</si>
  <si>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</si>
  <si>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</si>
  <si>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</si>
  <si>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</si>
  <si>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</si>
  <si>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</si>
  <si>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</si>
  <si>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</si>
  <si>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</si>
  <si>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</si>
  <si>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</si>
  <si>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</si>
  <si>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</si>
  <si>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</si>
  <si>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</si>
  <si>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</si>
  <si>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</si>
  <si>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</si>
  <si>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</si>
  <si>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</si>
  <si>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</si>
  <si>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</si>
  <si>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</si>
  <si>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</si>
  <si>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</si>
  <si>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</si>
  <si>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</si>
  <si>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</si>
  <si>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</si>
  <si>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</si>
  <si>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</si>
  <si>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</si>
  <si>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</si>
  <si>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</si>
  <si>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</si>
  <si>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</si>
  <si>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</si>
  <si>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</si>
  <si>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</si>
  <si>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</si>
  <si>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</si>
  <si>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</si>
  <si>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</si>
  <si>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</si>
  <si>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</si>
  <si>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</si>
  <si>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</si>
  <si>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</si>
  <si>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</si>
  <si>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</si>
  <si>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</si>
  <si>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</si>
  <si>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</si>
  <si>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</si>
  <si>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</si>
  <si>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</si>
  <si>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</si>
  <si>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</si>
  <si>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</si>
  <si>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</si>
  <si>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</si>
  <si>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</si>
  <si>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</si>
  <si>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</si>
  <si>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</si>
  <si>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</si>
  <si>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</si>
  <si>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</si>
  <si>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</si>
  <si>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</si>
  <si>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</si>
  <si>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</si>
  <si>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</si>
  <si>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</si>
  <si>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</si>
  <si>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</si>
  <si>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</si>
  <si>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</si>
  <si>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</si>
  <si>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</si>
  <si>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</si>
  <si>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</si>
  <si>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</si>
  <si>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</si>
  <si>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</si>
  <si>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</si>
  <si>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</si>
  <si>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</si>
  <si>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</si>
  <si>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</si>
  <si>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</si>
  <si>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</si>
  <si>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</si>
  <si>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</si>
  <si>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</si>
  <si>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</si>
  <si>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</si>
  <si>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</si>
  <si>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</si>
  <si>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</si>
  <si>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</si>
  <si>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</si>
  <si>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</si>
  <si>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</si>
  <si>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</si>
  <si>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</si>
  <si>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</si>
  <si>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</si>
  <si>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</si>
  <si>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</si>
  <si>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</si>
  <si>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</si>
  <si>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</si>
  <si>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</si>
  <si>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</si>
  <si>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</si>
  <si>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</si>
  <si>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</si>
  <si>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</si>
  <si>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</si>
  <si>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</si>
  <si>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</si>
  <si>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</si>
  <si>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</si>
  <si>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</si>
  <si>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</si>
  <si>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</si>
  <si>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</si>
  <si>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</si>
  <si>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</si>
  <si>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</si>
  <si>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</si>
  <si>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</si>
  <si>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</si>
  <si>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</si>
  <si>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</si>
  <si>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</si>
  <si>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</si>
  <si>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</si>
  <si>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</si>
  <si>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</si>
  <si>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</si>
  <si>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</si>
  <si>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</si>
  <si>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</si>
  <si>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</si>
  <si>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</si>
  <si>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</si>
  <si>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</si>
  <si>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</si>
  <si>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</si>
  <si>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</si>
  <si>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</si>
  <si>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</si>
  <si>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</si>
  <si>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</si>
  <si>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</si>
  <si>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</si>
  <si>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</si>
  <si>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</si>
  <si>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</si>
  <si>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</si>
  <si>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</si>
  <si>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</si>
  <si>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</si>
  <si>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</si>
  <si>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</si>
  <si>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</si>
  <si>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</si>
  <si>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</si>
  <si>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</si>
  <si>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</si>
  <si>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</si>
  <si>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</si>
  <si>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</si>
  <si>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</si>
  <si>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</si>
  <si>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</si>
  <si>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</si>
  <si>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</si>
  <si>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</si>
  <si>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</si>
  <si>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</si>
  <si>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</si>
  <si>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</si>
  <si>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</si>
  <si>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</si>
  <si>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</si>
  <si>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</si>
  <si>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</si>
  <si>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</si>
  <si>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</si>
  <si>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</si>
  <si>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</si>
  <si>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</si>
  <si>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</si>
  <si>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</si>
  <si>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</si>
  <si>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</si>
  <si>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</si>
  <si>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</si>
  <si>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</si>
  <si>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</si>
  <si>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</si>
  <si>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</si>
  <si>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</si>
  <si>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</si>
  <si>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</si>
  <si>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</si>
  <si>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</si>
  <si>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</si>
  <si>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</si>
  <si>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</si>
  <si>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</si>
  <si>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</si>
  <si>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</si>
  <si>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</si>
  <si>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</si>
  <si>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</si>
  <si>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</si>
  <si>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</si>
  <si>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</si>
  <si>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</si>
  <si>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</si>
  <si>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</si>
  <si>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</si>
  <si>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</si>
  <si>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</si>
  <si>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</si>
  <si>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</si>
  <si>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</si>
  <si>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</si>
  <si>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</si>
  <si>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</si>
  <si>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</si>
  <si>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</si>
  <si>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</si>
  <si>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</si>
  <si>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</si>
  <si>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</si>
  <si>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</si>
  <si>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</si>
  <si>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</si>
  <si>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</si>
  <si>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</si>
  <si>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</si>
  <si>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</si>
  <si>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</si>
  <si>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</si>
  <si>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</si>
  <si>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</si>
  <si>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</si>
  <si>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</si>
  <si>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</si>
  <si>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</si>
  <si>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</si>
  <si>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</si>
  <si>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</si>
  <si>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</si>
  <si>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</si>
  <si>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</si>
  <si>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</si>
  <si>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</si>
  <si>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</si>
  <si>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</si>
  <si>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</si>
  <si>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</si>
  <si>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</si>
  <si>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</si>
  <si>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</si>
  <si>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</si>
  <si>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</si>
  <si>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</si>
  <si>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</si>
  <si>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</si>
  <si>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</si>
  <si>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</si>
  <si>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</si>
  <si>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</si>
  <si>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</si>
  <si>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</si>
  <si>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</si>
  <si>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</si>
  <si>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</si>
  <si>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</si>
  <si>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</si>
  <si>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</si>
  <si>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</si>
  <si>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</si>
  <si>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</si>
  <si>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</si>
  <si>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</si>
  <si>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</si>
  <si>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</si>
  <si>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</si>
  <si>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</si>
  <si>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</si>
  <si>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</si>
  <si>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</si>
  <si>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</si>
  <si>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</si>
  <si>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</si>
  <si>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</si>
  <si>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</si>
  <si>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</si>
  <si>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</si>
  <si>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</si>
  <si>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</si>
  <si>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</si>
  <si>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</si>
  <si>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</si>
  <si>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</si>
  <si>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</si>
  <si>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</si>
  <si>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</si>
  <si>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</si>
  <si>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</si>
  <si>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</si>
  <si>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</si>
  <si>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</si>
  <si>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</si>
  <si>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</si>
  <si>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</si>
  <si>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</si>
  <si>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</si>
  <si>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</si>
  <si>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</si>
  <si>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</si>
  <si>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</si>
  <si>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</si>
  <si>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</si>
  <si>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</si>
  <si>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</si>
  <si>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</si>
  <si>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</si>
  <si>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</si>
  <si>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</si>
  <si>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</si>
  <si>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</si>
  <si>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</si>
  <si>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</si>
  <si>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</si>
  <si>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</si>
  <si>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</si>
  <si>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</si>
  <si>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</si>
  <si>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</si>
  <si>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</si>
  <si>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</si>
  <si>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</si>
  <si>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</si>
  <si>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</si>
  <si>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</si>
  <si>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</si>
  <si>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</si>
  <si>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</si>
  <si>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</si>
  <si>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</si>
  <si>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</si>
  <si>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</si>
  <si>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</si>
  <si>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</si>
  <si>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</si>
  <si>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</si>
  <si>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</si>
  <si>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</si>
  <si>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</si>
  <si>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</si>
  <si>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</si>
  <si>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</si>
  <si>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</si>
  <si>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</si>
  <si>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</si>
  <si>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</si>
  <si>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</si>
  <si>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</si>
  <si>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</si>
  <si>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</si>
  <si>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</si>
  <si>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</si>
  <si>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</si>
  <si>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</si>
  <si>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</si>
  <si>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</si>
  <si>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</si>
  <si>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</si>
  <si>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</si>
  <si>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</si>
  <si>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</si>
  <si>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</si>
  <si>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</si>
  <si>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</si>
  <si>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</si>
  <si>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</si>
  <si>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</si>
  <si>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</si>
  <si>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</si>
  <si>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</si>
  <si>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</si>
  <si>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</si>
  <si>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</si>
  <si>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</si>
  <si>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</si>
  <si>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</si>
  <si>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</si>
  <si>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</si>
  <si>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</si>
  <si>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</si>
  <si>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</si>
  <si>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</si>
  <si>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</si>
  <si>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</si>
  <si>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</si>
  <si>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</si>
  <si>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</si>
  <si>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</si>
  <si>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</si>
  <si>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</si>
  <si>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</si>
  <si>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</si>
  <si>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</si>
  <si>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</si>
  <si>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</si>
  <si>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</si>
  <si>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</si>
  <si>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</si>
  <si>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</si>
  <si>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</si>
  <si>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</si>
  <si>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</si>
  <si>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</si>
  <si>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</si>
  <si>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</si>
  <si>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</si>
  <si>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</si>
  <si>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</si>
  <si>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</si>
  <si>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</si>
  <si>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</si>
  <si>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</si>
  <si>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</si>
  <si>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</si>
  <si>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</si>
  <si>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</si>
  <si>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</si>
  <si>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</si>
  <si>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</si>
  <si>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</si>
  <si>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</si>
  <si>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</si>
  <si>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</si>
  <si>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</si>
  <si>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</si>
  <si>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</si>
  <si>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</si>
  <si>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</si>
  <si>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</si>
  <si>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</si>
  <si>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</si>
  <si>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</si>
  <si>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</si>
  <si>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</si>
  <si>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</si>
  <si>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</si>
  <si>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</si>
  <si>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</si>
  <si>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</si>
  <si>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</si>
  <si>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</si>
  <si>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</si>
  <si>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</si>
  <si>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</si>
  <si>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</si>
  <si>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</si>
  <si>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</si>
  <si>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</si>
  <si>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</si>
  <si>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</si>
  <si>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</si>
  <si>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</si>
  <si>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</si>
  <si>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</si>
  <si>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</si>
  <si>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</si>
  <si>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</si>
  <si>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</si>
  <si>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</si>
  <si>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</si>
  <si>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</si>
  <si>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</si>
  <si>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</si>
  <si>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</si>
  <si>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</si>
  <si>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</si>
  <si>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</si>
  <si>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</si>
  <si>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</si>
  <si>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</si>
  <si>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</si>
  <si>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</si>
  <si>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</si>
  <si>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</si>
  <si>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</si>
  <si>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</si>
  <si>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</si>
  <si>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</si>
  <si>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</si>
  <si>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</si>
  <si>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</si>
  <si>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</si>
  <si>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</si>
  <si>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</si>
  <si>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</si>
  <si>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</si>
  <si>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</si>
  <si>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</si>
  <si>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</si>
  <si>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</si>
  <si>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</si>
  <si>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</si>
  <si>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</si>
  <si>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</si>
  <si>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</si>
  <si>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</si>
  <si>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</si>
  <si>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</si>
  <si>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</si>
  <si>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</si>
  <si>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</si>
  <si>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</si>
  <si>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</si>
  <si>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</si>
  <si>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</si>
  <si>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</si>
  <si>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</si>
  <si>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</si>
  <si>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</si>
  <si>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</si>
  <si>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</si>
  <si>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</si>
  <si>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</si>
  <si>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</si>
  <si>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</si>
  <si>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</si>
  <si>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</si>
  <si>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</si>
  <si>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</si>
  <si>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</si>
  <si>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</si>
  <si>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</si>
  <si>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</si>
  <si>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</si>
  <si>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</si>
  <si>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</si>
  <si>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</si>
  <si>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</si>
  <si>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</si>
  <si>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</si>
  <si>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</si>
  <si>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</si>
  <si>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</si>
  <si>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</si>
  <si>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</si>
  <si>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</si>
  <si>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</si>
  <si>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</si>
  <si>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</si>
  <si>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</si>
  <si>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</si>
  <si>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</si>
  <si>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</si>
  <si>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</si>
  <si>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</si>
  <si>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</si>
  <si>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</si>
  <si>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</si>
  <si>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</si>
  <si>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</si>
  <si>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</si>
  <si>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</si>
  <si>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</si>
  <si>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</si>
  <si>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</si>
  <si>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</si>
  <si>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</si>
  <si>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</si>
  <si>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</si>
  <si>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</si>
  <si>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</si>
  <si>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</si>
  <si>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</si>
  <si>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</si>
  <si>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</si>
  <si>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</si>
  <si>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</si>
  <si>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</si>
  <si>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</si>
  <si>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</si>
  <si>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</si>
  <si>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</si>
  <si>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</si>
  <si>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</si>
  <si>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</si>
  <si>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</si>
  <si>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</si>
  <si>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</si>
  <si>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</si>
  <si>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</si>
  <si>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</si>
  <si>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</si>
  <si>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</si>
  <si>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</si>
  <si>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</si>
  <si>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</si>
  <si>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</si>
  <si>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</si>
  <si>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</si>
  <si>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</si>
  <si>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</si>
  <si>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</si>
  <si>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</si>
  <si>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</si>
  <si>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</si>
  <si>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</si>
  <si>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</si>
  <si>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</si>
  <si>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</si>
  <si>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</si>
  <si>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</si>
  <si>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</si>
  <si>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</si>
  <si>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</si>
  <si>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</si>
  <si>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</si>
  <si>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</si>
  <si>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</si>
  <si>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</si>
  <si>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</si>
  <si>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</si>
  <si>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</si>
  <si>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</si>
  <si>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</si>
  <si>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</si>
  <si>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</si>
  <si>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</si>
  <si>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</si>
  <si>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</si>
  <si>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</si>
  <si>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</si>
  <si>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</si>
  <si>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</si>
  <si>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</si>
  <si>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</si>
  <si>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</si>
  <si>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</si>
  <si>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</si>
  <si>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</si>
  <si>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</si>
  <si>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</si>
  <si>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</si>
  <si>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</si>
  <si>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</si>
  <si>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</si>
  <si>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</si>
  <si>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</si>
  <si>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</si>
  <si>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</si>
  <si>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</si>
  <si>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</si>
  <si>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</si>
  <si>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</si>
  <si>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</si>
  <si>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</si>
  <si>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</si>
  <si>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</si>
  <si>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</si>
  <si>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</si>
  <si>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</si>
  <si>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</si>
  <si>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</si>
  <si>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</si>
  <si>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</si>
  <si>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</si>
  <si>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</si>
  <si>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</si>
  <si>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</si>
  <si>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</si>
  <si>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</si>
  <si>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</si>
  <si>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</si>
  <si>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</si>
  <si>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</si>
  <si>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</si>
  <si>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</si>
  <si>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</si>
  <si>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</si>
  <si>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</si>
  <si>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</si>
  <si>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</si>
  <si>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</si>
  <si>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</si>
  <si>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</si>
  <si>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</si>
  <si>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</si>
  <si>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</si>
  <si>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</si>
  <si>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</si>
  <si>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</si>
  <si>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</si>
  <si>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</si>
  <si>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</si>
  <si>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</si>
  <si>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</si>
  <si>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</si>
  <si>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</si>
  <si>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</si>
  <si>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</si>
  <si>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</si>
  <si>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</si>
  <si>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</si>
  <si>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</si>
  <si>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</si>
  <si>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</si>
  <si>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</si>
  <si>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</si>
  <si>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</si>
  <si>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</si>
  <si>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</si>
  <si>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</si>
  <si>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</si>
  <si>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</si>
  <si>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</si>
  <si>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</si>
  <si>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</si>
  <si>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</si>
  <si>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</si>
  <si>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</si>
  <si>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</si>
  <si>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</si>
  <si>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</si>
  <si>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</si>
  <si>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</si>
  <si>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</si>
  <si>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</si>
  <si>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</si>
  <si>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</si>
  <si>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</si>
  <si>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</si>
  <si>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</si>
  <si>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</si>
  <si>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</si>
  <si>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</si>
  <si>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</si>
  <si>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</si>
  <si>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</si>
  <si>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</si>
  <si>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</si>
  <si>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</si>
  <si>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</si>
  <si>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</si>
  <si>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</si>
  <si>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</si>
  <si>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</si>
  <si>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</si>
  <si>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</si>
  <si>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</si>
  <si>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</si>
  <si>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</si>
  <si>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</si>
  <si>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</si>
  <si>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</si>
  <si>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</si>
  <si>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</si>
  <si>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</si>
  <si>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</si>
  <si>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</si>
  <si>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</si>
  <si>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</si>
  <si>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</si>
  <si>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</si>
  <si>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</si>
  <si>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</si>
  <si>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</si>
  <si>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</si>
  <si>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</si>
  <si>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</si>
  <si>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</si>
  <si>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</si>
  <si>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</si>
  <si>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</si>
  <si>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</si>
  <si>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</si>
  <si>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</si>
  <si>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</si>
  <si>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</si>
  <si>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</si>
  <si>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</si>
  <si>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</si>
  <si>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</si>
  <si>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</si>
  <si>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</si>
  <si>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</si>
  <si>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</si>
  <si>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</si>
  <si>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</si>
  <si>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</si>
  <si>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</si>
  <si>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</si>
  <si>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</si>
  <si>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</si>
  <si>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</si>
  <si>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</si>
  <si>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</si>
  <si>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</si>
  <si>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</si>
  <si>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</si>
  <si>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</si>
  <si>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</si>
  <si>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</si>
  <si>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</si>
  <si>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</si>
  <si>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</si>
  <si>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</si>
  <si>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</si>
  <si>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</si>
  <si>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</si>
  <si>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</si>
  <si>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</si>
  <si>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</si>
  <si>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</si>
  <si>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</si>
  <si>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</si>
  <si>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</si>
  <si>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</si>
  <si>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</si>
  <si>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</si>
  <si>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</si>
  <si>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</si>
  <si>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</si>
  <si>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</si>
  <si>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</si>
  <si>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</si>
  <si>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</si>
  <si>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</si>
  <si>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</si>
  <si>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</si>
  <si>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</si>
  <si>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</si>
  <si>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</si>
  <si>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</si>
  <si>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</si>
  <si>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</si>
  <si>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</si>
  <si>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</si>
  <si>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</si>
  <si>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</si>
  <si>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</si>
  <si>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</si>
  <si>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</si>
  <si>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</si>
  <si>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</si>
  <si>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</si>
  <si>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</si>
  <si>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</si>
  <si>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</si>
  <si>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</si>
  <si>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</si>
  <si>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</si>
  <si>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</si>
  <si>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</si>
  <si>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</si>
  <si>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</si>
  <si>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</si>
  <si>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</si>
  <si>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</si>
  <si>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</si>
  <si>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</si>
  <si>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</si>
  <si>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</si>
  <si>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</si>
  <si>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</si>
  <si>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</si>
  <si>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</si>
  <si>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</si>
  <si>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</si>
  <si>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</si>
  <si>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</si>
  <si>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</si>
  <si>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</si>
  <si>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</si>
  <si>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</si>
  <si>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</si>
  <si>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</si>
  <si>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</si>
  <si>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</si>
  <si>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</si>
  <si>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</si>
  <si>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</si>
  <si>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</si>
  <si>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</si>
  <si>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</si>
  <si>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</si>
  <si>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</si>
  <si>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</si>
  <si>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</si>
  <si>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</si>
  <si>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</si>
  <si>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</si>
  <si>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</si>
  <si>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</si>
  <si>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</si>
  <si>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</si>
  <si>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</si>
  <si>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</si>
  <si>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</si>
  <si>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</si>
  <si>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</si>
  <si>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</si>
  <si>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</si>
  <si>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</si>
  <si>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</si>
  <si>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</si>
  <si>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</si>
  <si>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</si>
  <si>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</si>
  <si>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</si>
  <si>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</si>
  <si>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</si>
  <si>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</si>
  <si>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</si>
  <si>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</si>
  <si>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</si>
  <si>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</si>
  <si>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</si>
  <si>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</si>
  <si>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</si>
  <si>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</si>
  <si>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</si>
  <si>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</si>
  <si>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</si>
  <si>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</si>
  <si>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</si>
  <si>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</si>
  <si>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</si>
  <si>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</si>
  <si>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</si>
  <si>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</si>
  <si>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</si>
  <si>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</si>
  <si>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</si>
  <si>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</si>
  <si>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</si>
  <si>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</si>
  <si>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</si>
  <si>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</si>
  <si>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</si>
  <si>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</si>
  <si>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</si>
  <si>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</si>
  <si>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</si>
  <si>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</si>
  <si>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</si>
  <si>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</si>
  <si>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</si>
  <si>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</si>
  <si>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</si>
  <si>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</si>
  <si>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</si>
  <si>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</si>
  <si>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</si>
  <si>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</si>
  <si>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</si>
  <si>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</si>
  <si>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</si>
  <si>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</si>
  <si>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</si>
  <si>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</si>
  <si>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</si>
  <si>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</si>
  <si>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</si>
  <si>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</si>
  <si>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</si>
  <si>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</si>
  <si>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</si>
  <si>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</si>
  <si>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</si>
  <si>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</si>
  <si>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</si>
  <si>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</si>
  <si>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</si>
  <si>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</si>
  <si>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</si>
  <si>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</si>
  <si>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</si>
  <si>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</si>
  <si>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</si>
  <si>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</si>
  <si>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</si>
  <si>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</si>
  <si>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</si>
  <si>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</si>
  <si>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</si>
  <si>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</si>
  <si>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</si>
  <si>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</si>
  <si>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</si>
  <si>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</si>
  <si>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</si>
  <si>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</si>
  <si>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</si>
  <si>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</si>
  <si>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</si>
  <si>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</si>
  <si>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</si>
  <si>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</si>
  <si>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</si>
  <si>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</si>
  <si>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</si>
  <si>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</si>
  <si>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</si>
  <si>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</si>
  <si>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</si>
  <si>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</si>
  <si>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</si>
  <si>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</si>
  <si>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</si>
  <si>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</si>
  <si>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</si>
  <si>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</si>
  <si>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</si>
  <si>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</si>
  <si>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</si>
  <si>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</si>
  <si>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</si>
  <si>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</si>
  <si>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</si>
  <si>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</si>
  <si>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</si>
  <si>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</si>
  <si>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</si>
  <si>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</si>
  <si>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</si>
  <si>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</si>
  <si>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</si>
  <si>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</si>
  <si>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</si>
  <si>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</si>
  <si>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</si>
  <si>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</si>
  <si>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</si>
  <si>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</si>
  <si>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</si>
  <si>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</si>
  <si>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</si>
  <si>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</si>
  <si>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</si>
  <si>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</si>
  <si>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</si>
  <si>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</si>
  <si>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</si>
  <si>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</si>
  <si>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</si>
  <si>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</si>
  <si>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</si>
  <si>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</si>
  <si>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</si>
  <si>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</si>
  <si>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</si>
  <si>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</si>
  <si>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</si>
  <si>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</si>
  <si>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</si>
  <si>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</si>
  <si>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</si>
  <si>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</si>
  <si>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</si>
  <si>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</si>
  <si>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</si>
  <si>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</si>
  <si>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</si>
  <si>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</si>
  <si>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</si>
  <si>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</si>
  <si>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</si>
  <si>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</si>
  <si>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</si>
  <si>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</si>
  <si>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</si>
  <si>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</si>
  <si>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</si>
  <si>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</si>
  <si>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</si>
  <si>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</si>
  <si>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</si>
  <si>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</si>
  <si>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</si>
  <si>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</si>
  <si>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</si>
  <si>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</si>
  <si>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</si>
  <si>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</si>
  <si>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</si>
  <si>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</si>
  <si>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</si>
  <si>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</si>
  <si>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</si>
  <si>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</si>
  <si>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</si>
  <si>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</si>
  <si>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</si>
  <si>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</si>
  <si>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</si>
  <si>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</si>
  <si>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</si>
  <si>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</si>
  <si>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</si>
  <si>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</si>
  <si>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</si>
  <si>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</si>
  <si>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</si>
  <si>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</si>
  <si>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</si>
  <si>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</si>
  <si>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</si>
  <si>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</si>
  <si>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</si>
  <si>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</si>
  <si>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</si>
  <si>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</si>
  <si>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</si>
  <si>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</si>
  <si>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</si>
  <si>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</si>
  <si>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</si>
  <si>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</si>
  <si>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</si>
  <si>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</si>
  <si>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</si>
  <si>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</si>
  <si>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</si>
  <si>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</si>
  <si>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</si>
  <si>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</si>
  <si>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</si>
  <si>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</si>
  <si>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</si>
  <si>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</si>
  <si>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</si>
  <si>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</si>
  <si>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</si>
  <si>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</si>
  <si>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</si>
  <si>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</si>
  <si>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</si>
  <si>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</si>
  <si>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</si>
  <si>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</si>
  <si>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</si>
  <si>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</si>
  <si>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</si>
  <si>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</si>
  <si>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</si>
  <si>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</si>
  <si>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</si>
  <si>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</si>
  <si>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</si>
  <si>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</si>
  <si>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</si>
  <si>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</si>
  <si>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</si>
  <si>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</si>
  <si>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</si>
  <si>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</si>
  <si>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</si>
  <si>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</si>
  <si>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</si>
  <si>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</si>
  <si>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</si>
  <si>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</si>
  <si>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</si>
  <si>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</si>
  <si>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</si>
  <si>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</si>
  <si>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</si>
  <si>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</si>
  <si>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</si>
  <si>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</si>
  <si>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</si>
  <si>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</si>
  <si>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</si>
  <si>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</si>
  <si>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</si>
  <si>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</si>
  <si>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</si>
  <si>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</si>
  <si>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</si>
  <si>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</si>
  <si>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</si>
  <si>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</si>
  <si>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</si>
  <si>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</si>
  <si>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</si>
  <si>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</si>
  <si>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</si>
  <si>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</si>
  <si>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</si>
  <si>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</si>
  <si>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</si>
  <si>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</si>
  <si>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</si>
  <si>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</si>
  <si>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</si>
  <si>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</si>
  <si>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</si>
  <si>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</si>
  <si>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</si>
  <si>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</si>
  <si>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</si>
  <si>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</si>
  <si>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</si>
  <si>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</si>
  <si>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</si>
  <si>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</si>
  <si>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</si>
  <si>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</si>
  <si>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</si>
  <si>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</si>
  <si>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</si>
  <si>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</si>
  <si>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</si>
  <si>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</si>
  <si>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</si>
  <si>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</si>
  <si>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</si>
  <si>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</si>
  <si>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</si>
  <si>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</si>
  <si>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</si>
  <si>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</si>
  <si>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</si>
  <si>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</si>
  <si>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</si>
  <si>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</si>
  <si>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</si>
  <si>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</si>
  <si>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</si>
  <si>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</si>
  <si>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</si>
  <si>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</si>
  <si>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</si>
  <si>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</si>
  <si>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</si>
  <si>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</si>
  <si>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</si>
  <si>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</si>
  <si>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</si>
  <si>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</si>
  <si>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</si>
  <si>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</si>
  <si>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</si>
  <si>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</si>
  <si>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</si>
  <si>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</si>
  <si>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</si>
  <si>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</si>
  <si>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</si>
  <si>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</si>
  <si>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</si>
  <si>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</si>
  <si>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</si>
  <si>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</si>
  <si>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</si>
  <si>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</si>
  <si>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</si>
  <si>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</si>
  <si>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</si>
  <si>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</si>
  <si>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</si>
  <si>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</si>
  <si>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</si>
  <si>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</si>
  <si>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</si>
  <si>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</si>
  <si>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</si>
  <si>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</si>
  <si>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</si>
  <si>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</si>
  <si>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</si>
  <si>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</si>
  <si>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</si>
  <si>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</si>
  <si>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</si>
  <si>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</si>
  <si>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</si>
  <si>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</si>
  <si>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</si>
  <si>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</si>
  <si>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</si>
  <si>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</si>
  <si>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</si>
  <si>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</si>
  <si>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</si>
  <si>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</si>
  <si>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</si>
  <si>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</si>
  <si>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</si>
  <si>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</si>
  <si>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</si>
  <si>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</si>
  <si>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</si>
  <si>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</si>
  <si>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</si>
  <si>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</si>
  <si>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</si>
  <si>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</si>
  <si>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</si>
  <si>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</si>
  <si>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</si>
  <si>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</si>
  <si>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</si>
  <si>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</si>
  <si>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</si>
  <si>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</si>
  <si>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</si>
  <si>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</si>
  <si>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</si>
  <si>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</si>
  <si>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</si>
  <si>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</si>
  <si>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</si>
  <si>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</si>
  <si>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</si>
  <si>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</si>
  <si>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</si>
  <si>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</si>
  <si>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</si>
  <si>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</si>
  <si>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</si>
  <si>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</si>
  <si>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</si>
  <si>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</si>
  <si>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</si>
  <si>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</si>
  <si>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</si>
  <si>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</si>
  <si>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</si>
  <si>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</si>
  <si>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</si>
  <si>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</si>
  <si>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</si>
  <si>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</si>
  <si>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</si>
  <si>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</si>
  <si>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</si>
  <si>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</si>
  <si>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</si>
  <si>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</si>
  <si>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</si>
  <si>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</si>
  <si>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</si>
  <si>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</si>
  <si>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</si>
  <si>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</si>
  <si>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</si>
  <si>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</si>
  <si>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</si>
  <si>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</si>
  <si>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</si>
  <si>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</si>
  <si>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</si>
  <si>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</si>
  <si>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</si>
  <si>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</si>
  <si>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</si>
  <si>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</si>
  <si>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</si>
  <si>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</si>
  <si>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</si>
  <si>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</si>
  <si>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</si>
  <si>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</si>
  <si>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</si>
  <si>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</si>
  <si>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</si>
  <si>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</si>
  <si>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</si>
  <si>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</si>
  <si>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</si>
  <si>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</si>
  <si>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</si>
  <si>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</si>
  <si>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</si>
  <si>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</si>
  <si>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</si>
  <si>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</si>
  <si>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</si>
  <si>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</si>
  <si>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</si>
  <si>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</si>
  <si>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</si>
  <si>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</si>
  <si>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</si>
  <si>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</si>
  <si>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</si>
  <si>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</si>
  <si>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</si>
  <si>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</si>
  <si>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</si>
  <si>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</si>
  <si>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</si>
  <si>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</si>
  <si>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</si>
  <si>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</si>
  <si>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</si>
  <si>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</si>
  <si>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</si>
  <si>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</si>
  <si>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</si>
  <si>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</si>
  <si>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</si>
  <si>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</si>
  <si>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</si>
  <si>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</si>
  <si>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</si>
  <si>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</si>
  <si>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</si>
  <si>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</si>
  <si>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</si>
  <si>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</si>
  <si>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</si>
  <si>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</si>
  <si>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</si>
  <si>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</si>
  <si>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</si>
  <si>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</si>
  <si>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</si>
  <si>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</si>
  <si>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</si>
  <si>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</si>
  <si>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</si>
  <si>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</si>
  <si>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</si>
  <si>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</si>
  <si>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</si>
  <si>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</si>
  <si>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</si>
  <si>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</si>
  <si>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</si>
  <si>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</si>
  <si>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</si>
  <si>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</si>
  <si>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</si>
  <si>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</si>
  <si>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</si>
  <si>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</si>
  <si>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</si>
  <si>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</si>
  <si>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</si>
  <si>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</si>
  <si>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</si>
  <si>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</si>
  <si>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</si>
  <si>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</si>
  <si>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</si>
  <si>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</si>
  <si>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</si>
  <si>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</si>
  <si>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</si>
  <si>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</si>
  <si>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</si>
  <si>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</si>
  <si>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</si>
  <si>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</si>
  <si>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</si>
  <si>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</si>
  <si>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</si>
  <si>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</si>
  <si>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</si>
  <si>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</si>
  <si>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</si>
  <si>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</si>
  <si>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</si>
  <si>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</si>
  <si>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</si>
  <si>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</si>
  <si>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</si>
  <si>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</si>
  <si>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</si>
  <si>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</si>
  <si>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</si>
  <si>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</si>
  <si>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</si>
  <si>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</si>
  <si>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</si>
  <si>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</si>
  <si>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</si>
  <si>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</si>
  <si>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</si>
  <si>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</si>
  <si>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</si>
  <si>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</si>
  <si>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</si>
  <si>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</si>
  <si>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</si>
  <si>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</si>
  <si>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</si>
  <si>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</si>
  <si>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</si>
  <si>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</si>
  <si>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</si>
  <si>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</si>
  <si>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</si>
  <si>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</si>
  <si>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</si>
  <si>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</si>
  <si>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</si>
  <si>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</si>
  <si>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</si>
  <si>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</si>
  <si>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</si>
  <si>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</si>
  <si>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</si>
  <si>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</si>
  <si>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</si>
  <si>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</si>
  <si>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</si>
  <si>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</si>
  <si>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</si>
  <si>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</si>
  <si>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</si>
  <si>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</si>
  <si>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</si>
  <si>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</si>
  <si>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</si>
  <si>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</si>
  <si>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</si>
  <si>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</si>
  <si>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</si>
  <si>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</si>
  <si>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</si>
  <si>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</si>
  <si>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</si>
  <si>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</si>
  <si>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</si>
  <si>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</si>
  <si>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</si>
  <si>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</si>
  <si>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</si>
  <si>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</si>
  <si>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</si>
  <si>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</si>
  <si>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</si>
  <si>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</si>
  <si>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</si>
  <si>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</si>
  <si>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</si>
  <si>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</si>
  <si>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</si>
  <si>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</si>
  <si>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</si>
  <si>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</si>
  <si>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</si>
  <si>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</si>
  <si>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</si>
  <si>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</si>
  <si>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</si>
  <si>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</si>
  <si>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</si>
  <si>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</si>
  <si>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</si>
  <si>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</si>
  <si>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</si>
  <si>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</si>
  <si>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</si>
  <si>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</si>
  <si>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</si>
  <si>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</si>
  <si>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</si>
  <si>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</si>
  <si>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</si>
  <si>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</si>
  <si>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</si>
  <si>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</si>
  <si>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</si>
  <si>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</si>
  <si>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</si>
  <si>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</si>
  <si>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</si>
  <si>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</si>
  <si>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</si>
  <si>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</si>
  <si>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</si>
  <si>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</si>
  <si>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</si>
  <si>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</si>
  <si>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</si>
  <si>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</si>
  <si>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</si>
  <si>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</si>
  <si>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</si>
  <si>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</si>
  <si>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</si>
  <si>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</si>
  <si>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</si>
  <si>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</si>
  <si>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</si>
  <si>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</si>
  <si>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</si>
  <si>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</si>
  <si>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</si>
  <si>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</si>
  <si>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</si>
  <si>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</si>
  <si>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</si>
  <si>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</si>
  <si>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</si>
  <si>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</si>
  <si>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</si>
  <si>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</si>
  <si>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</si>
  <si>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</si>
  <si>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</si>
  <si>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</si>
  <si>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</si>
  <si>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</si>
  <si>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</si>
  <si>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</si>
  <si>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</si>
  <si>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</si>
  <si>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</si>
  <si>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</si>
  <si>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</si>
  <si>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</si>
  <si>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</si>
  <si>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</si>
  <si>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</si>
  <si>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</si>
  <si>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</si>
  <si>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</si>
  <si>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</si>
  <si>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</si>
  <si>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</si>
  <si>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</si>
  <si>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</si>
  <si>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</si>
  <si>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</si>
  <si>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</si>
  <si>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</si>
  <si>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</si>
  <si>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</si>
  <si>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</si>
  <si>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</si>
  <si>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</si>
  <si>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</si>
  <si>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</si>
  <si>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</si>
  <si>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</si>
  <si>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</si>
  <si>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</si>
  <si>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</si>
  <si>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</si>
  <si>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</si>
  <si>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</si>
  <si>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</si>
  <si>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</si>
  <si>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</si>
  <si>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</si>
  <si>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</si>
  <si>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</si>
  <si>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</si>
  <si>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</si>
  <si>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</si>
  <si>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</si>
  <si>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</si>
  <si>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</si>
  <si>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</si>
  <si>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</si>
  <si>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</si>
  <si>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</si>
  <si>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</si>
  <si>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</si>
  <si>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</si>
  <si>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</si>
  <si>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</si>
  <si>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</si>
  <si>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</si>
  <si>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</si>
  <si>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</si>
  <si>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</si>
  <si>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</si>
  <si>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</si>
  <si>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</si>
  <si>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</si>
  <si>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</si>
  <si>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</si>
  <si>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</si>
  <si>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</si>
  <si>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</si>
  <si>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</si>
  <si>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</si>
  <si>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</si>
  <si>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</si>
  <si>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</si>
  <si>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</si>
  <si>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</si>
  <si>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</si>
  <si>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</si>
  <si>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</si>
  <si>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</si>
  <si>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</si>
  <si>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</si>
  <si>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</si>
  <si>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</si>
  <si>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</si>
  <si>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</si>
  <si>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</si>
  <si>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</si>
  <si>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</si>
  <si>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</si>
  <si>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</si>
  <si>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</si>
  <si>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</si>
  <si>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</si>
  <si>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</si>
  <si>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</si>
  <si>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</si>
  <si>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</si>
  <si>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</si>
  <si>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</si>
  <si>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</si>
  <si>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</si>
  <si>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</si>
  <si>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</si>
  <si>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</si>
  <si>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</si>
  <si>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</si>
  <si>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</si>
  <si>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</si>
  <si>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</si>
  <si>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</si>
  <si>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</si>
  <si>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</si>
  <si>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</si>
  <si>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</si>
  <si>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</si>
  <si>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</si>
  <si>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</si>
  <si>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</si>
  <si>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</si>
  <si>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</si>
  <si>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</si>
  <si>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</si>
  <si>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</si>
  <si>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</si>
  <si>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</si>
  <si>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</si>
  <si>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</si>
  <si>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</si>
  <si>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</si>
  <si>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</si>
  <si>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</si>
  <si>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</si>
  <si>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</si>
  <si>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</si>
  <si>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</si>
  <si>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</si>
  <si>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</si>
  <si>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</si>
  <si>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</si>
  <si>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</si>
  <si>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</si>
  <si>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</si>
  <si>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</si>
  <si>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</si>
  <si>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</si>
  <si>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</si>
  <si>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</si>
  <si>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</si>
  <si>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</si>
  <si>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</si>
  <si>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</si>
  <si>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</si>
  <si>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</si>
  <si>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</si>
  <si>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</si>
  <si>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</si>
  <si>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</si>
  <si>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</si>
  <si>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</si>
  <si>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</si>
  <si>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</si>
  <si>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</si>
  <si>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</si>
  <si>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</si>
  <si>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</si>
  <si>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</si>
  <si>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</si>
  <si>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</si>
  <si>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</si>
  <si>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</si>
  <si>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</si>
  <si>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</si>
  <si>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</si>
  <si>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</si>
  <si>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</si>
  <si>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</si>
  <si>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</si>
  <si>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</si>
  <si>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</si>
  <si>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</si>
  <si>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</si>
  <si>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</si>
  <si>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</si>
  <si>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</si>
  <si>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</si>
  <si>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</si>
  <si>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</si>
  <si>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</si>
  <si>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</si>
  <si>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</si>
  <si>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</si>
  <si>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</si>
  <si>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</si>
  <si>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</si>
  <si>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</si>
  <si>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</si>
  <si>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</si>
  <si>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</si>
  <si>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</si>
  <si>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</si>
  <si>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</si>
  <si>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</si>
  <si>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</si>
  <si>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</si>
  <si>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</si>
  <si>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</si>
  <si>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</si>
  <si>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</si>
  <si>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</si>
  <si>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</si>
  <si>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</si>
  <si>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</si>
  <si>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</si>
  <si>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</si>
  <si>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</si>
  <si>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</si>
  <si>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</si>
  <si>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</si>
  <si>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</si>
  <si>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</si>
  <si>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</si>
  <si>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</si>
  <si>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</si>
  <si>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</si>
  <si>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</si>
  <si>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</si>
  <si>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</si>
  <si>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</si>
  <si>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</si>
  <si>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</si>
  <si>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</si>
  <si>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</si>
  <si>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</si>
  <si>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</si>
  <si>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</si>
  <si>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</si>
  <si>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</si>
  <si>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</si>
  <si>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</si>
  <si>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</si>
  <si>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</si>
  <si>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</si>
  <si>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</si>
  <si>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</si>
  <si>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</si>
  <si>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</si>
  <si>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</si>
  <si>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</si>
  <si>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</si>
  <si>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</si>
  <si>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</si>
  <si>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</si>
  <si>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</si>
  <si>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</si>
  <si>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</si>
  <si>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</si>
  <si>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</si>
  <si>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</si>
  <si>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</si>
  <si>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</si>
  <si>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</si>
  <si>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</si>
  <si>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</si>
  <si>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</si>
  <si>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</si>
  <si>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</si>
  <si>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</si>
  <si>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</si>
  <si>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</si>
  <si>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</si>
  <si>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</si>
  <si>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</si>
  <si>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</si>
  <si>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</si>
  <si>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</si>
  <si>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</si>
  <si>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</si>
  <si>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</si>
  <si>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</si>
  <si>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</si>
  <si>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</si>
  <si>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</si>
  <si>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</si>
  <si>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</si>
  <si>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</si>
  <si>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</si>
  <si>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</si>
  <si>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</si>
  <si>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</si>
  <si>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</si>
  <si>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</si>
  <si>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</si>
  <si>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</si>
  <si>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</si>
  <si>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</si>
  <si>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</si>
  <si>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</si>
  <si>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</si>
  <si>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</si>
  <si>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</si>
  <si>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</si>
  <si>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</si>
  <si>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</si>
  <si>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</si>
  <si>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</si>
  <si>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</si>
  <si>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</si>
  <si>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</si>
  <si>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</si>
  <si>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</si>
  <si>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</si>
  <si>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</si>
  <si>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</si>
  <si>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</si>
  <si>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</si>
  <si>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</si>
  <si>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</si>
  <si>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</si>
  <si>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</si>
  <si>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</si>
  <si>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</si>
  <si>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</si>
  <si>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</si>
  <si>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</si>
  <si>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</si>
  <si>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</si>
  <si>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</si>
  <si>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</si>
  <si>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</si>
  <si>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</si>
  <si>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</si>
  <si>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</si>
  <si>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</si>
  <si>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</si>
  <si>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</si>
  <si>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</si>
  <si>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</si>
  <si>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</si>
  <si>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</si>
  <si>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</si>
  <si>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</si>
  <si>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</si>
  <si>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</si>
  <si>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</si>
  <si>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</si>
  <si>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</si>
  <si>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</si>
  <si>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</si>
  <si>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</si>
  <si>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</si>
  <si>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</si>
  <si>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</si>
  <si>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</si>
  <si>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</si>
  <si>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</si>
  <si>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</si>
  <si>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</si>
  <si>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</si>
  <si>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</si>
  <si>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</si>
  <si>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</si>
  <si>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</si>
  <si>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</si>
  <si>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</si>
  <si>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</si>
  <si>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</si>
  <si>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</si>
  <si>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</si>
  <si>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</si>
  <si>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</si>
  <si>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</si>
  <si>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</si>
  <si>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</si>
  <si>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</si>
  <si>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</si>
  <si>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</si>
  <si>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</si>
  <si>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</si>
  <si>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</si>
  <si>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</si>
  <si>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</si>
  <si>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</si>
  <si>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</si>
  <si>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</si>
  <si>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</si>
  <si>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</si>
  <si>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</si>
  <si>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</si>
  <si>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</si>
  <si>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</si>
  <si>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</si>
  <si>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</si>
  <si>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</si>
  <si>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</si>
  <si>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</si>
  <si>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</si>
  <si>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</si>
  <si>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</si>
  <si>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</si>
  <si>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</si>
  <si>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</si>
  <si>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</si>
  <si>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</si>
  <si>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</si>
  <si>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</si>
  <si>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</si>
  <si>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</si>
  <si>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</si>
  <si>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</si>
  <si>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</si>
  <si>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</si>
  <si>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</si>
  <si>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</si>
  <si>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</si>
  <si>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</si>
  <si>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</si>
  <si>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</si>
  <si>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</si>
  <si>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</si>
  <si>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</si>
  <si>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</si>
  <si>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</si>
  <si>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</si>
  <si>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</si>
  <si>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</si>
  <si>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</si>
  <si>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</si>
  <si>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</si>
  <si>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</si>
  <si>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</si>
  <si>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</si>
  <si>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</si>
  <si>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</si>
  <si>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</si>
  <si>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</si>
  <si>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</si>
  <si>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</si>
  <si>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</si>
  <si>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</si>
  <si>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</si>
  <si>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</si>
  <si>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</si>
  <si>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</si>
  <si>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</si>
  <si>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</si>
  <si>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</si>
  <si>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</si>
  <si>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</si>
  <si>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</si>
  <si>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</si>
  <si>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</si>
  <si>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</si>
  <si>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</si>
  <si>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</si>
  <si>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</si>
  <si>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</si>
  <si>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</si>
  <si>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</si>
  <si>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</si>
  <si>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</si>
  <si>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</si>
  <si>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</si>
  <si>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</si>
  <si>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</si>
  <si>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</si>
  <si>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</si>
  <si>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</si>
  <si>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</si>
  <si>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</si>
  <si>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</si>
  <si>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</si>
  <si>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</si>
  <si>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</si>
  <si>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</si>
  <si>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</si>
  <si>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</si>
  <si>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</si>
  <si>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</si>
  <si>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</si>
  <si>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</si>
  <si>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</si>
  <si>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</si>
  <si>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</si>
  <si>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</si>
  <si>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</si>
  <si>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</si>
  <si>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</si>
  <si>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</si>
  <si>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</si>
  <si>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</si>
  <si>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</si>
  <si>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</si>
  <si>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</si>
  <si>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</si>
  <si>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</si>
  <si>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</si>
  <si>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</si>
  <si>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</si>
  <si>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</si>
  <si>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</si>
  <si>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</si>
  <si>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</si>
  <si>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</si>
  <si>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</si>
  <si>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</si>
  <si>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</si>
  <si>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</si>
  <si>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</si>
  <si>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</si>
  <si>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</si>
  <si>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</si>
  <si>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</si>
  <si>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</si>
  <si>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</si>
  <si>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</si>
  <si>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</si>
  <si>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</si>
  <si>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</si>
  <si>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</si>
  <si>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</si>
  <si>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</si>
  <si>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</si>
  <si>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</si>
  <si>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</si>
  <si>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</si>
  <si>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</si>
  <si>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</si>
  <si>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</si>
  <si>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</si>
  <si>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</si>
  <si>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</si>
  <si>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</si>
  <si>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</si>
  <si>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</si>
  <si>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</si>
  <si>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</si>
  <si>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</si>
  <si>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</si>
  <si>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</si>
  <si>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</si>
  <si>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</si>
  <si>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</si>
  <si>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</si>
  <si>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</si>
  <si>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</si>
  <si>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</si>
  <si>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</si>
  <si>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</si>
  <si>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</si>
  <si>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</si>
  <si>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</si>
  <si>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</si>
  <si>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</si>
  <si>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</si>
  <si>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</si>
  <si>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</si>
  <si>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</si>
  <si>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</si>
  <si>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</si>
  <si>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</si>
  <si>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</si>
  <si>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</si>
  <si>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</si>
  <si>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</si>
  <si>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</si>
  <si>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</si>
  <si>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</si>
  <si>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</si>
  <si>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</si>
  <si>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</si>
  <si>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</si>
  <si>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</si>
  <si>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</si>
  <si>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</si>
  <si>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</si>
  <si>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</si>
  <si>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</si>
  <si>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</si>
  <si>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</si>
  <si>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</si>
  <si>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</si>
  <si>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</si>
  <si>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</si>
  <si>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</si>
  <si>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</si>
  <si>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</si>
  <si>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</si>
  <si>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</si>
  <si>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</si>
  <si>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</si>
  <si>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</si>
  <si>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</si>
  <si>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</si>
  <si>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</si>
  <si>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</si>
  <si>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</si>
  <si>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</si>
  <si>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</si>
  <si>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</si>
  <si>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</si>
  <si>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</si>
  <si>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</si>
  <si>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</si>
  <si>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</si>
  <si>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</si>
  <si>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</si>
  <si>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</si>
  <si>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</si>
  <si>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</si>
  <si>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</si>
  <si>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</si>
  <si>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</si>
  <si>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</si>
  <si>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</si>
  <si>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</si>
  <si>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</si>
  <si>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</si>
  <si>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</si>
  <si>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</si>
  <si>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</si>
  <si>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</si>
  <si>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</si>
  <si>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</si>
  <si>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</si>
  <si>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</si>
  <si>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</si>
  <si>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</si>
  <si>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</si>
  <si>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</si>
  <si>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</si>
  <si>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</si>
  <si>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</si>
  <si>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</si>
  <si>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</si>
  <si>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</si>
  <si>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</si>
  <si>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</si>
  <si>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</si>
  <si>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</si>
  <si>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</si>
  <si>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</si>
  <si>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</si>
  <si>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</si>
  <si>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</si>
  <si>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</si>
  <si>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</si>
  <si>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</si>
  <si>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</si>
  <si>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</si>
  <si>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</si>
  <si>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</si>
  <si>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</si>
  <si>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</si>
  <si>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</si>
  <si>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</si>
  <si>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</si>
  <si>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</si>
  <si>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</si>
  <si>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</si>
  <si>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</si>
  <si>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</si>
  <si>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</si>
  <si>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</si>
  <si>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</si>
  <si>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</si>
  <si>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</si>
  <si>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</si>
  <si>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</si>
  <si>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</si>
  <si>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</si>
  <si>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</si>
  <si>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</si>
  <si>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</si>
  <si>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</si>
  <si>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</si>
  <si>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</si>
  <si>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</si>
  <si>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</si>
  <si>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</si>
  <si>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</si>
  <si>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</si>
  <si>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</si>
  <si>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</si>
  <si>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</si>
  <si>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</si>
  <si>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</si>
  <si>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</si>
  <si>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</si>
  <si>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</si>
  <si>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</si>
  <si>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</si>
  <si>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</si>
  <si>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</si>
  <si>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</si>
  <si>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</si>
  <si>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</si>
  <si>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</si>
  <si>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</si>
  <si>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</si>
  <si>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</si>
  <si>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</si>
  <si>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</si>
  <si>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</si>
  <si>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</si>
  <si>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</si>
  <si>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</si>
  <si>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</si>
  <si>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</si>
  <si>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</si>
  <si>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</si>
  <si>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</si>
  <si>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</si>
  <si>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</si>
  <si>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</si>
  <si>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</si>
  <si>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</si>
  <si>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</si>
  <si>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</si>
  <si>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</si>
  <si>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</si>
  <si>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</si>
  <si>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</si>
  <si>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</si>
  <si>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</si>
  <si>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</si>
  <si>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</si>
  <si>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</si>
  <si>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</si>
  <si>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</si>
  <si>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</si>
  <si>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</si>
  <si>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</si>
  <si>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</si>
  <si>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</si>
  <si>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</si>
  <si>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</si>
  <si>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</si>
  <si>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</si>
  <si>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</si>
  <si>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</si>
  <si>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</si>
  <si>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</si>
  <si>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</si>
  <si>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</si>
  <si>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</si>
  <si>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</si>
  <si>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</si>
  <si>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</si>
  <si>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</si>
  <si>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</si>
  <si>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</si>
  <si>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</si>
  <si>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</si>
  <si>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</si>
  <si>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</si>
  <si>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</si>
  <si>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</si>
  <si>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</si>
  <si>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</si>
  <si>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</si>
  <si>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</si>
  <si>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</si>
  <si>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</si>
  <si>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</si>
  <si>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</si>
  <si>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</si>
  <si>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</si>
  <si>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</si>
  <si>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</si>
  <si>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</si>
  <si>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</si>
  <si>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</si>
  <si>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</si>
  <si>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</si>
  <si>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</si>
  <si>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</si>
  <si>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</si>
  <si>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</si>
  <si>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</si>
  <si>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</si>
  <si>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</si>
  <si>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</si>
  <si>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</si>
  <si>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</si>
  <si>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</si>
  <si>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</si>
  <si>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</si>
  <si>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</si>
  <si>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</si>
  <si>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</si>
  <si>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</si>
  <si>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</si>
  <si>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</si>
  <si>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</si>
  <si>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</si>
  <si>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</si>
  <si>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</si>
  <si>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</si>
  <si>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</si>
  <si>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</si>
  <si>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</si>
  <si>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</si>
  <si>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</si>
  <si>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</si>
  <si>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</si>
  <si>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</si>
  <si>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</si>
  <si>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</si>
  <si>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</si>
  <si>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</si>
  <si>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</si>
  <si>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</si>
  <si>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</si>
  <si>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</si>
  <si>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</si>
  <si>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</si>
  <si>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</si>
  <si>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</si>
  <si>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</si>
  <si>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</si>
  <si>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</si>
  <si>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</si>
  <si>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</si>
  <si>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</si>
  <si>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</si>
  <si>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</si>
  <si>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</si>
  <si>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</si>
  <si>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</si>
  <si>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</si>
  <si>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</si>
  <si>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</si>
  <si>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</si>
  <si>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</si>
  <si>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</si>
  <si>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</si>
  <si>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</si>
  <si>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</si>
  <si>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</si>
  <si>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</si>
  <si>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</si>
  <si>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</si>
  <si>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</si>
  <si>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</si>
  <si>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</si>
  <si>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</si>
  <si>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</si>
  <si>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</si>
  <si>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</si>
  <si>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</si>
  <si>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</si>
  <si>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</si>
  <si>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</si>
  <si>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</si>
  <si>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</si>
  <si>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</si>
  <si>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</si>
  <si>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</si>
  <si>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</si>
  <si>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</si>
  <si>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</si>
  <si>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</si>
  <si>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</si>
  <si>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</si>
  <si>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</si>
  <si>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</si>
  <si>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</si>
  <si>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</si>
  <si>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</si>
  <si>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</si>
  <si>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</si>
  <si>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</si>
  <si>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</si>
  <si>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</si>
  <si>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</si>
  <si>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</si>
  <si>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</si>
  <si>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</si>
  <si>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</si>
  <si>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</si>
  <si>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</si>
  <si>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</si>
  <si>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</si>
  <si>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</si>
  <si>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</si>
  <si>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</si>
  <si>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</si>
  <si>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</si>
  <si>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</si>
  <si>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</si>
  <si>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</si>
  <si>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</si>
  <si>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</si>
  <si>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</si>
  <si>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</si>
  <si>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</si>
  <si>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</si>
  <si>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</si>
  <si>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</si>
  <si>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</si>
  <si>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</si>
  <si>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</si>
  <si>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</si>
  <si>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</si>
  <si>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</si>
  <si>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</si>
  <si>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</si>
  <si>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</si>
  <si>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</si>
  <si>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</si>
  <si>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</si>
  <si>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</si>
  <si>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</si>
  <si>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</si>
  <si>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</si>
  <si>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</si>
  <si>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</si>
  <si>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</si>
  <si>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</si>
  <si>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</si>
  <si>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</si>
  <si>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</si>
  <si>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</si>
  <si>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</si>
  <si>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</si>
  <si>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</si>
  <si>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</si>
  <si>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</si>
  <si>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</si>
  <si>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</si>
  <si>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</si>
  <si>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</si>
  <si>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</si>
  <si>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</si>
  <si>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</si>
  <si>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</si>
  <si>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</si>
  <si>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</si>
  <si>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</si>
  <si>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</si>
  <si>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</si>
  <si>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</si>
  <si>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</si>
  <si>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</si>
  <si>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</si>
  <si>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</si>
  <si>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</si>
  <si>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</si>
  <si>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</si>
  <si>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</si>
  <si>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</si>
  <si>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</si>
  <si>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</si>
  <si>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</si>
  <si>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</si>
  <si>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</si>
  <si>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</si>
  <si>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</si>
  <si>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</si>
  <si>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</si>
  <si>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</si>
  <si>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</si>
  <si>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</si>
  <si>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</si>
  <si>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</si>
  <si>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</si>
  <si>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</si>
  <si>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</si>
  <si>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</si>
  <si>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</si>
  <si>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</si>
  <si>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</si>
  <si>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</si>
  <si>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</si>
  <si>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</si>
  <si>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</si>
  <si>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</si>
  <si>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</si>
  <si>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</si>
  <si>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</si>
  <si>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</si>
  <si>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</si>
  <si>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</si>
  <si>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</si>
  <si>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</si>
  <si>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</si>
  <si>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</si>
  <si>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</si>
  <si>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</si>
  <si>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</si>
  <si>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</si>
  <si>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</si>
  <si>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</si>
  <si>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</si>
  <si>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</si>
  <si>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</si>
  <si>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</si>
  <si>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</si>
  <si>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</si>
  <si>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</si>
  <si>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</si>
  <si>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</si>
  <si>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</si>
  <si>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</si>
  <si>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</si>
  <si>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</si>
  <si>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</si>
  <si>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</si>
  <si>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</si>
  <si>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</si>
  <si>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</si>
  <si>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</si>
  <si>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</si>
  <si>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</si>
  <si>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</si>
  <si>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</si>
  <si>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</si>
  <si>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</si>
  <si>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</si>
  <si>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</si>
  <si>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</si>
  <si>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</si>
  <si>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</si>
  <si>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</si>
  <si>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</si>
  <si>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</si>
  <si>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</si>
  <si>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</si>
  <si>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</si>
  <si>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</si>
  <si>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</si>
  <si>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</si>
  <si>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</si>
  <si>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</si>
  <si>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</si>
  <si>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</si>
  <si>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</si>
  <si>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</si>
  <si>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</si>
  <si>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</si>
  <si>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</si>
  <si>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</si>
  <si>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</si>
  <si>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</si>
  <si>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</si>
  <si>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</si>
  <si>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</si>
  <si>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</si>
  <si>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</si>
  <si>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</si>
  <si>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</si>
  <si>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</si>
  <si>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</si>
  <si>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</si>
  <si>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</si>
  <si>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</si>
  <si>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</si>
  <si>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</si>
  <si>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</si>
  <si>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</si>
  <si>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</si>
  <si>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</si>
  <si>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</si>
  <si>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</si>
  <si>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</si>
  <si>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</si>
  <si>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</si>
  <si>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</si>
  <si>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</si>
  <si>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</si>
  <si>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</si>
  <si>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</si>
  <si>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</si>
  <si>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</si>
  <si>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</si>
  <si>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</si>
  <si>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</si>
  <si>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</si>
  <si>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</si>
  <si>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</si>
  <si>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</si>
  <si>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</si>
  <si>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</si>
  <si>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</si>
  <si>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</si>
  <si>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</si>
  <si>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</si>
  <si>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</si>
  <si>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</si>
  <si>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</si>
  <si>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</si>
  <si>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</si>
  <si>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</si>
  <si>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</si>
  <si>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</si>
  <si>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</si>
  <si>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</si>
  <si>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</si>
  <si>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</si>
  <si>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</si>
  <si>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</si>
  <si>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</si>
  <si>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</si>
  <si>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</si>
  <si>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</si>
  <si>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</si>
  <si>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</si>
  <si>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</si>
  <si>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</si>
  <si>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</si>
  <si>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</si>
  <si>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</si>
  <si>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</si>
  <si>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</si>
  <si>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</si>
  <si>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</si>
  <si>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</si>
  <si>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</si>
  <si>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</si>
  <si>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</si>
  <si>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</si>
  <si>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</si>
  <si>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</si>
  <si>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</si>
  <si>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</si>
  <si>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</si>
  <si>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</si>
  <si>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</si>
  <si>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</si>
  <si>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</si>
  <si>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</si>
  <si>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</si>
  <si>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</si>
  <si>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</si>
  <si>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</si>
  <si>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</si>
  <si>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</si>
  <si>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</si>
  <si>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</si>
  <si>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</si>
  <si>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</si>
  <si>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</si>
  <si>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</si>
  <si>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</si>
  <si>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</si>
  <si>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</si>
  <si>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</si>
  <si>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</si>
  <si>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</si>
  <si>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</si>
  <si>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</si>
  <si>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</si>
  <si>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</si>
  <si>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</si>
  <si>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</si>
  <si>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</si>
  <si>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</si>
  <si>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</si>
  <si>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</si>
  <si>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</si>
  <si>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</si>
  <si>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</si>
  <si>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</si>
  <si>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</si>
  <si>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</si>
  <si>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</si>
  <si>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</si>
  <si>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</si>
  <si>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</si>
  <si>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</si>
  <si>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</si>
  <si>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</si>
  <si>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</si>
  <si>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</si>
  <si>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</si>
  <si>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</si>
  <si>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</si>
  <si>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</si>
  <si>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</si>
  <si>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</si>
  <si>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</si>
  <si>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</si>
  <si>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</si>
  <si>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</si>
  <si>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</si>
  <si>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</si>
  <si>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</si>
  <si>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</si>
  <si>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</si>
  <si>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</si>
  <si>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</si>
  <si>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</si>
  <si>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</si>
  <si>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</si>
  <si>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</si>
  <si>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</si>
  <si>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</si>
  <si>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</si>
  <si>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</si>
  <si>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</si>
  <si>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</si>
  <si>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</si>
  <si>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</si>
  <si>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</si>
  <si>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</si>
  <si>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</si>
  <si>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</si>
  <si>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</si>
  <si>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</si>
  <si>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</si>
  <si>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</si>
  <si>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</si>
  <si>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</si>
  <si>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</si>
  <si>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</si>
  <si>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</si>
  <si>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</si>
  <si>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</si>
  <si>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</si>
  <si>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</si>
  <si>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</si>
  <si>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</si>
  <si>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</si>
  <si>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</si>
  <si>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</si>
  <si>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</si>
  <si>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</si>
  <si>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</si>
  <si>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</si>
  <si>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</si>
  <si>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</si>
  <si>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</si>
  <si>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</si>
  <si>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</si>
  <si>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</si>
  <si>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</si>
  <si>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</si>
  <si>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</si>
  <si>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</si>
  <si>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</si>
  <si>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</si>
  <si>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</si>
  <si>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</si>
  <si>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</si>
  <si>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</si>
  <si>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</si>
  <si>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</si>
  <si>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</si>
  <si>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</si>
  <si>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</si>
  <si>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</si>
  <si>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</si>
  <si>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</si>
  <si>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</si>
  <si>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</si>
  <si>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</si>
  <si>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</si>
  <si>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</si>
  <si>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</si>
  <si>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</si>
  <si>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</si>
  <si>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</si>
  <si>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</si>
  <si>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</si>
  <si>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</si>
  <si>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</si>
  <si>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</si>
  <si>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</si>
  <si>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</si>
  <si>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</si>
  <si>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</si>
  <si>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</si>
  <si>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</si>
  <si>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</si>
  <si>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</si>
  <si>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</si>
  <si>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</si>
  <si>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</si>
  <si>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</si>
  <si>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</si>
  <si>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</si>
  <si>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</si>
  <si>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</si>
  <si>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</si>
  <si>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</si>
  <si>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</si>
  <si>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</si>
  <si>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</si>
  <si>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</si>
  <si>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</si>
  <si>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</si>
  <si>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</si>
  <si>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</si>
  <si>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</si>
  <si>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</si>
  <si>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</si>
  <si>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</si>
  <si>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</si>
  <si>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</si>
  <si>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</si>
  <si>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</si>
  <si>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</si>
  <si>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</si>
  <si>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</si>
  <si>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</si>
  <si>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</si>
  <si>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</si>
  <si>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</si>
  <si>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</si>
  <si>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</si>
  <si>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</si>
  <si>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</si>
  <si>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</si>
  <si>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</si>
  <si>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</si>
  <si>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</si>
  <si>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</si>
  <si>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</si>
  <si>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</si>
  <si>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</si>
  <si>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</si>
  <si>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</si>
  <si>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</si>
  <si>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</si>
  <si>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</si>
  <si>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</si>
  <si>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</si>
  <si>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</si>
  <si>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</si>
  <si>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</si>
  <si>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</si>
  <si>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</si>
  <si>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</si>
  <si>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</si>
  <si>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</si>
  <si>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</si>
  <si>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</si>
  <si>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</si>
  <si>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</si>
  <si>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</si>
  <si>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</si>
  <si>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</si>
  <si>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</si>
  <si>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</si>
  <si>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</si>
  <si>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</si>
  <si>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</si>
  <si>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</si>
  <si>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</si>
  <si>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</si>
  <si>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</si>
  <si>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</si>
  <si>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</si>
  <si>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</si>
  <si>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</si>
  <si>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</si>
  <si>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</si>
  <si>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</si>
  <si>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</si>
  <si>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</si>
  <si>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</si>
  <si>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</si>
  <si>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</si>
  <si>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</si>
  <si>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</si>
  <si>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</si>
  <si>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</si>
  <si>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</si>
  <si>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</si>
  <si>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</si>
  <si>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</si>
  <si>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</si>
  <si>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</si>
  <si>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</si>
  <si>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</si>
  <si>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</si>
  <si>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</si>
  <si>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</si>
  <si>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</si>
  <si>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</si>
  <si>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</si>
  <si>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</si>
  <si>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</si>
  <si>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</si>
  <si>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</si>
  <si>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</si>
  <si>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</si>
  <si>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</si>
  <si>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</si>
  <si>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</si>
  <si>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</si>
  <si>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</si>
  <si>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</si>
  <si>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</si>
  <si>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</si>
  <si>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</si>
  <si>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</si>
  <si>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</si>
  <si>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</si>
  <si>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</si>
  <si>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</si>
  <si>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</si>
  <si>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</si>
  <si>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</si>
  <si>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</si>
  <si>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</si>
  <si>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</si>
  <si>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</si>
  <si>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</si>
  <si>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</si>
  <si>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</si>
  <si>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</si>
  <si>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</si>
  <si>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</si>
  <si>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</si>
  <si>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</si>
  <si>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</si>
  <si>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</si>
  <si>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</si>
  <si>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</si>
  <si>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</si>
  <si>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</si>
  <si>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</si>
  <si>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</si>
  <si>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</si>
  <si>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</si>
  <si>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</si>
  <si>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</si>
  <si>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</si>
  <si>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</si>
  <si>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</si>
  <si>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</si>
  <si>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</si>
  <si>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</si>
  <si>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</si>
  <si>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</si>
  <si>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</si>
  <si>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</si>
  <si>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</si>
  <si>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</si>
  <si>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</si>
  <si>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</si>
  <si>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</si>
  <si>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</si>
  <si>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</si>
  <si>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</si>
  <si>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</si>
  <si>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</si>
  <si>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</si>
  <si>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</si>
  <si>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</si>
  <si>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</si>
  <si>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</si>
  <si>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</si>
  <si>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</si>
  <si>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</si>
  <si>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</si>
  <si>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</si>
  <si>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</si>
  <si>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</si>
  <si>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</si>
  <si>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</si>
  <si>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</si>
  <si>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</si>
  <si>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</si>
  <si>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</si>
  <si>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</si>
  <si>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</si>
  <si>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</si>
  <si>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</si>
  <si>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</si>
  <si>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</si>
  <si>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</si>
  <si>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</si>
  <si>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</si>
  <si>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</si>
  <si>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</si>
  <si>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</si>
  <si>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</si>
  <si>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</si>
  <si>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</si>
  <si>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</si>
  <si>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</si>
  <si>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</si>
  <si>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</si>
  <si>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</si>
  <si>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</si>
  <si>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</si>
  <si>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</si>
  <si>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</si>
  <si>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</si>
  <si>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</si>
  <si>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</si>
  <si>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</si>
  <si>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</si>
  <si>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</si>
  <si>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</si>
  <si>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</si>
  <si>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</si>
  <si>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</si>
  <si>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</si>
  <si>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</si>
  <si>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</si>
  <si>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</si>
  <si>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</si>
  <si>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</si>
  <si>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</si>
  <si>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</si>
  <si>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</si>
  <si>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</si>
  <si>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</si>
  <si>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</si>
  <si>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</si>
  <si>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</si>
  <si>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</si>
  <si>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</si>
  <si>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</si>
  <si>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</si>
  <si>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</si>
  <si>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</si>
  <si>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</si>
  <si>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</si>
  <si>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</si>
  <si>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</si>
  <si>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</si>
  <si>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</si>
  <si>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</si>
  <si>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</si>
  <si>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</si>
  <si>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</si>
  <si>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</si>
  <si>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</si>
  <si>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</si>
  <si>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</si>
  <si>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</si>
  <si>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</si>
  <si>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</si>
  <si>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</si>
  <si>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</si>
  <si>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</si>
  <si>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</si>
  <si>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</si>
  <si>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</si>
  <si>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</si>
  <si>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</si>
  <si>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</si>
  <si>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</si>
  <si>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</si>
  <si>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</si>
  <si>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</si>
  <si>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</si>
  <si>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</si>
  <si>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</si>
  <si>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</si>
  <si>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</si>
  <si>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</si>
  <si>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</si>
  <si>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</si>
  <si>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</si>
  <si>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</si>
  <si>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</si>
  <si>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</si>
  <si>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</si>
  <si>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</si>
  <si>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</si>
  <si>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</si>
  <si>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</si>
  <si>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</si>
  <si>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</si>
  <si>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</si>
  <si>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</si>
  <si>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</si>
  <si>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</si>
  <si>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</si>
  <si>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</si>
  <si>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</si>
  <si>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</si>
  <si>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</si>
  <si>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</si>
  <si>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</si>
  <si>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</si>
  <si>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</si>
  <si>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</si>
  <si>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</si>
  <si>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</si>
  <si>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</si>
  <si>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</si>
  <si>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</si>
  <si>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</si>
  <si>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</si>
  <si>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</si>
  <si>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</si>
  <si>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</si>
  <si>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</si>
  <si>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</si>
  <si>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</si>
  <si>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</si>
  <si>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</si>
  <si>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</si>
  <si>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</si>
  <si>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</si>
  <si>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</si>
  <si>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</si>
  <si>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</si>
  <si>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</si>
  <si>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</si>
  <si>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</si>
  <si>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</si>
  <si>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</si>
  <si>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</si>
  <si>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</si>
  <si>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</si>
  <si>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</si>
  <si>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</si>
  <si>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</si>
  <si>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</si>
  <si>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</si>
  <si>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</si>
  <si>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</si>
  <si>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</si>
  <si>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</si>
  <si>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</si>
  <si>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</si>
  <si>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</si>
  <si>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</si>
  <si>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</si>
  <si>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</si>
  <si>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</si>
  <si>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</si>
  <si>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</si>
  <si>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</si>
  <si>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</si>
  <si>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</si>
  <si>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</si>
  <si>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</si>
  <si>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</si>
  <si>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</si>
  <si>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</si>
  <si>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</si>
  <si>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</si>
  <si>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</si>
  <si>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</si>
  <si>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</si>
  <si>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</si>
  <si>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</si>
  <si>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</si>
  <si>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</si>
  <si>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</si>
  <si>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</si>
  <si>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</si>
  <si>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</si>
  <si>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</si>
  <si>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</si>
  <si>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</si>
  <si>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</si>
  <si>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</si>
  <si>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</si>
  <si>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</si>
  <si>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</si>
  <si>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</si>
  <si>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</si>
  <si>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</si>
  <si>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</si>
  <si>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</si>
  <si>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</si>
  <si>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</si>
  <si>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</si>
  <si>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</si>
  <si>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</si>
  <si>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</si>
  <si>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</si>
  <si>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</si>
  <si>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</si>
  <si>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</si>
  <si>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</si>
  <si>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</si>
  <si>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</si>
  <si>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</si>
  <si>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</si>
  <si>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</si>
  <si>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</si>
  <si>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</si>
  <si>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</si>
  <si>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</si>
  <si>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</si>
  <si>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</si>
  <si>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</si>
  <si>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</si>
  <si>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</si>
  <si>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</si>
  <si>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</si>
  <si>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</si>
  <si>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</si>
  <si>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</si>
  <si>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</si>
  <si>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</si>
  <si>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</si>
  <si>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</si>
  <si>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</si>
  <si>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</si>
  <si>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</si>
  <si>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</si>
  <si>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</si>
  <si>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</si>
  <si>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</si>
  <si>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</si>
  <si>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</si>
  <si>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</si>
  <si>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</si>
  <si>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</si>
  <si>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</si>
  <si>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</si>
  <si>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</si>
  <si>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</si>
  <si>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</si>
  <si>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</si>
  <si>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</si>
  <si>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</si>
  <si>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</si>
  <si>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</si>
  <si>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</si>
  <si>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</si>
  <si>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</si>
  <si>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</si>
  <si>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</si>
  <si>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</si>
  <si>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</si>
  <si>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</si>
  <si>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</si>
  <si>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</si>
  <si>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</si>
  <si>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</si>
  <si>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</si>
  <si>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</si>
  <si>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</si>
  <si>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</si>
  <si>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</si>
  <si>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</si>
  <si>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</si>
  <si>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</si>
  <si>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</si>
  <si>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</si>
  <si>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</si>
  <si>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</si>
  <si>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</si>
  <si>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</si>
  <si>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</si>
  <si>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</si>
  <si>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</si>
  <si>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</si>
  <si>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</si>
  <si>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</si>
  <si>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</si>
  <si>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</si>
  <si>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</si>
  <si>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</si>
  <si>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</si>
  <si>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</si>
  <si>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</si>
  <si>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</si>
  <si>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</si>
  <si>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</si>
  <si>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</si>
  <si>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</si>
  <si>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</si>
  <si>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</si>
  <si>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</si>
  <si>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</si>
  <si>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</si>
  <si>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</si>
  <si>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</si>
  <si>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</si>
  <si>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</si>
  <si>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</si>
  <si>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</si>
  <si>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</si>
  <si>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</si>
  <si>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</si>
  <si>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</si>
  <si>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</si>
  <si>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</si>
  <si>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</si>
  <si>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</si>
  <si>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</si>
  <si>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</si>
  <si>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</si>
  <si>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</si>
  <si>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</si>
  <si>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</si>
  <si>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</si>
  <si>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</si>
  <si>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</si>
  <si>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</si>
  <si>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</si>
  <si>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</si>
  <si>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</si>
  <si>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</si>
  <si>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</si>
  <si>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</si>
  <si>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</si>
  <si>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</si>
  <si>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</si>
  <si>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</si>
  <si>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</si>
  <si>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</si>
  <si>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</si>
  <si>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</si>
  <si>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</si>
  <si>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</si>
  <si>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</si>
  <si>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</si>
  <si>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</si>
  <si>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</si>
  <si>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</si>
  <si>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</si>
  <si>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</si>
  <si>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</si>
  <si>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</si>
  <si>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</si>
  <si>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</si>
  <si>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</si>
  <si>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</si>
  <si>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</si>
  <si>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</si>
  <si>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</si>
  <si>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</si>
  <si>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</si>
  <si>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</si>
  <si>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</si>
  <si>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</si>
  <si>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</si>
  <si>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</si>
  <si>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</si>
  <si>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</si>
  <si>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</si>
  <si>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</si>
  <si>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</si>
  <si>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</si>
  <si>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</si>
  <si>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</si>
  <si>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</si>
  <si>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</si>
  <si>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</si>
  <si>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</si>
  <si>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</si>
  <si>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</si>
  <si>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</si>
  <si>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</si>
  <si>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</si>
  <si>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</si>
  <si>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</si>
  <si>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</si>
  <si>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</si>
  <si>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</si>
  <si>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</si>
  <si>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</si>
  <si>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</si>
  <si>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</si>
  <si>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</si>
  <si>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</si>
  <si>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</si>
  <si>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</si>
  <si>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</si>
  <si>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</si>
  <si>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</si>
  <si>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</si>
  <si>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</si>
  <si>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</si>
  <si>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</si>
  <si>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</si>
  <si>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</si>
  <si>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</si>
  <si>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</si>
  <si>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</si>
  <si>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</si>
  <si>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</si>
  <si>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</si>
  <si>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</si>
  <si>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</si>
  <si>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</si>
  <si>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</si>
  <si>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</si>
  <si>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</si>
  <si>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</si>
  <si>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</si>
  <si>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</si>
  <si>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</si>
  <si>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</si>
  <si>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</si>
  <si>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</si>
  <si>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</si>
  <si>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</si>
  <si>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</si>
  <si>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</si>
  <si>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</si>
  <si>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</si>
  <si>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</si>
  <si>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</si>
  <si>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</si>
  <si>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</si>
  <si>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</si>
  <si>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</si>
  <si>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</si>
  <si>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</si>
  <si>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</si>
  <si>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</si>
  <si>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</si>
  <si>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</si>
  <si>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</si>
  <si>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</si>
  <si>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</si>
  <si>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</si>
  <si>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</si>
  <si>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</si>
  <si>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</si>
  <si>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</si>
  <si>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</si>
  <si>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</si>
  <si>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</si>
  <si>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</si>
  <si>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</si>
  <si>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</si>
  <si>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</si>
  <si>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</si>
  <si>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</si>
  <si>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</si>
  <si>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</si>
  <si>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</si>
  <si>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</si>
  <si>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</si>
  <si>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</si>
  <si>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</si>
  <si>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</si>
  <si>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</si>
  <si>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</si>
  <si>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</si>
  <si>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</si>
  <si>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</si>
  <si>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</si>
  <si>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</si>
  <si>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</si>
  <si>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</si>
  <si>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</si>
  <si>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</si>
  <si>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</si>
  <si>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</si>
  <si>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</si>
  <si>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</si>
  <si>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</si>
  <si>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</si>
  <si>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</si>
  <si>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</si>
  <si>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</si>
  <si>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</si>
  <si>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</si>
  <si>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</si>
  <si>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</si>
  <si>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</si>
  <si>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</si>
  <si>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</si>
  <si>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</si>
  <si>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</si>
  <si>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</si>
  <si>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</si>
  <si>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</si>
  <si>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</si>
  <si>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</si>
  <si>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</si>
  <si>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</si>
  <si>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</si>
  <si>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</si>
  <si>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</si>
  <si>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</si>
  <si>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</si>
  <si>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</si>
  <si>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</si>
  <si>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</si>
  <si>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</si>
  <si>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</si>
  <si>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</si>
  <si>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</si>
  <si>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</si>
  <si>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</si>
  <si>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</si>
  <si>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</si>
  <si>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</si>
  <si>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</si>
  <si>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</si>
  <si>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</si>
  <si>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</si>
  <si>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</si>
  <si>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</si>
  <si>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</si>
  <si>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</si>
  <si>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</si>
  <si>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</si>
  <si>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</si>
  <si>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</si>
  <si>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</si>
  <si>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</si>
  <si>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</si>
  <si>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</si>
  <si>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</si>
  <si>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</si>
  <si>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</si>
  <si>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</si>
  <si>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</si>
  <si>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</si>
  <si>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</si>
  <si>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</si>
  <si>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</si>
  <si>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</si>
  <si>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</si>
  <si>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</si>
  <si>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</si>
  <si>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</si>
  <si>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</si>
  <si>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</si>
  <si>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</si>
  <si>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</si>
  <si>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</si>
  <si>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</si>
  <si>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</si>
  <si>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</si>
  <si>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</si>
  <si>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</si>
  <si>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</si>
  <si>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</si>
  <si>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</si>
  <si>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</si>
  <si>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</si>
  <si>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</si>
  <si>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</si>
  <si>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</si>
  <si>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</si>
  <si>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</si>
  <si>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</si>
  <si>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</si>
  <si>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</si>
  <si>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</si>
  <si>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</si>
  <si>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</si>
  <si>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</si>
  <si>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</si>
  <si>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</si>
  <si>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</si>
  <si>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</si>
  <si>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</si>
  <si>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</si>
  <si>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</si>
  <si>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</si>
  <si>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</si>
  <si>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</si>
  <si>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</si>
  <si>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</si>
  <si>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</si>
  <si>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</si>
  <si>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</si>
  <si>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</si>
  <si>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</si>
  <si>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</si>
  <si>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</si>
  <si>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</si>
  <si>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</si>
  <si>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</si>
  <si>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</si>
  <si>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</si>
  <si>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</si>
  <si>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</si>
  <si>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</si>
  <si>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</si>
  <si>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</si>
  <si>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</si>
  <si>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</si>
  <si>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</si>
  <si>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</si>
  <si>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</si>
  <si>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</si>
  <si>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</si>
  <si>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</si>
  <si>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</si>
  <si>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</si>
  <si>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</si>
  <si>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</si>
  <si>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</si>
  <si>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</si>
  <si>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</si>
  <si>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</si>
  <si>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</si>
  <si>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</si>
  <si>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</si>
  <si>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</si>
  <si>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</si>
  <si>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</si>
  <si>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</si>
  <si>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</si>
  <si>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</si>
  <si>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</si>
  <si>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</si>
  <si>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</si>
  <si>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</si>
  <si>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</si>
  <si>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</si>
  <si>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</si>
  <si>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</si>
  <si>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</si>
  <si>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</si>
  <si>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</si>
  <si>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</si>
  <si>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</si>
  <si>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</si>
  <si>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</si>
  <si>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</si>
  <si>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</si>
  <si>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</si>
  <si>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</si>
  <si>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</si>
  <si>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</si>
  <si>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</si>
  <si>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</si>
  <si>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</si>
  <si>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</si>
  <si>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</si>
  <si>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</si>
  <si>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</si>
  <si>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</si>
  <si>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</si>
  <si>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</si>
  <si>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</si>
  <si>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</si>
  <si>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</si>
  <si>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</si>
  <si>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</si>
  <si>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</si>
  <si>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</si>
  <si>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</si>
  <si>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</si>
  <si>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</si>
  <si>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</si>
  <si>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</si>
  <si>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</si>
  <si>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</si>
  <si>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</si>
  <si>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</si>
  <si>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</si>
  <si>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</si>
  <si>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</si>
  <si>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</si>
  <si>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</si>
  <si>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</si>
  <si>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</si>
  <si>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</si>
  <si>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</si>
  <si>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</si>
  <si>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</si>
  <si>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</si>
  <si>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</si>
  <si>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</si>
  <si>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</si>
  <si>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</si>
  <si>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</si>
  <si>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</si>
  <si>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</si>
  <si>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</si>
  <si>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</si>
  <si>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</si>
  <si>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</si>
  <si>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</si>
  <si>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</si>
  <si>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</si>
  <si>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</si>
  <si>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</si>
  <si>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</si>
  <si>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</si>
  <si>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</si>
  <si>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</si>
  <si>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</si>
  <si>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</si>
  <si>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</si>
  <si>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</si>
  <si>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</si>
  <si>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</si>
  <si>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</si>
  <si>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</si>
  <si>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</si>
  <si>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</si>
  <si>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</si>
  <si>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</si>
  <si>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</si>
  <si>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</si>
  <si>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</si>
  <si>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</si>
  <si>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</si>
  <si>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</si>
  <si>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</si>
  <si>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</si>
  <si>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</si>
  <si>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</si>
  <si>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</si>
  <si>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</si>
  <si>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</si>
  <si>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</si>
  <si>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</si>
  <si>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</si>
  <si>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</si>
  <si>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</si>
  <si>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</si>
  <si>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</si>
  <si>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</si>
  <si>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</si>
  <si>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</si>
  <si>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</si>
  <si>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</si>
  <si>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</si>
  <si>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</si>
  <si>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</si>
  <si>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</si>
  <si>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</si>
  <si>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</si>
  <si>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</si>
  <si>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</si>
  <si>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</si>
  <si>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</si>
  <si>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</si>
  <si>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</si>
  <si>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</si>
  <si>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</si>
  <si>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</si>
  <si>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</si>
  <si>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</si>
  <si>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</si>
  <si>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</si>
  <si>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</si>
  <si>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</si>
  <si>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</si>
  <si>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</si>
  <si>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</si>
  <si>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</si>
  <si>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</si>
  <si>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</si>
  <si>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</si>
  <si>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</si>
  <si>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</si>
  <si>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</si>
  <si>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</si>
  <si>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</si>
  <si>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</si>
  <si>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</si>
  <si>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</si>
  <si>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</si>
  <si>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</si>
  <si>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</si>
  <si>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</si>
  <si>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</si>
  <si>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</si>
  <si>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</si>
  <si>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</si>
  <si>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</si>
  <si>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</si>
  <si>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</si>
  <si>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</si>
  <si>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</si>
  <si>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</si>
  <si>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</si>
  <si>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</si>
  <si>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</si>
  <si>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</si>
  <si>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</si>
  <si>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</si>
  <si>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</si>
  <si>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</si>
  <si>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</si>
  <si>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</si>
  <si>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</si>
  <si>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</si>
  <si>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</si>
  <si>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</si>
  <si>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</si>
  <si>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</si>
  <si>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</si>
  <si>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</si>
  <si>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</si>
  <si>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</si>
  <si>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</si>
  <si>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</si>
  <si>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</si>
  <si>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</si>
  <si>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</si>
  <si>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</si>
  <si>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</si>
  <si>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</si>
  <si>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</si>
  <si>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</si>
  <si>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</si>
  <si>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</si>
  <si>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</si>
  <si>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</si>
  <si>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</si>
  <si>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</si>
  <si>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</si>
  <si>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</si>
  <si>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</si>
  <si>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</si>
  <si>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</si>
  <si>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</si>
  <si>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</si>
  <si>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</si>
  <si>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</si>
  <si>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</si>
  <si>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</si>
  <si>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</si>
  <si>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</si>
  <si>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</si>
  <si>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</si>
  <si>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</si>
  <si>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</si>
  <si>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</si>
  <si>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</si>
  <si>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</si>
  <si>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</si>
  <si>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</si>
  <si>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</si>
  <si>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</si>
  <si>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</si>
  <si>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</si>
  <si>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</si>
  <si>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</si>
  <si>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</si>
  <si>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</si>
  <si>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</si>
  <si>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</si>
  <si>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</si>
  <si>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</si>
  <si>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</si>
  <si>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</si>
  <si>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</si>
  <si>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</si>
  <si>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</si>
  <si>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</si>
  <si>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</si>
  <si>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</si>
  <si>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</si>
  <si>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</si>
  <si>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</si>
  <si>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</si>
  <si>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</si>
  <si>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</si>
  <si>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</si>
  <si>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</si>
  <si>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</si>
  <si>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</si>
  <si>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</si>
  <si>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</si>
  <si>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</si>
  <si>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</si>
  <si>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</si>
  <si>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</si>
  <si>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</si>
  <si>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</si>
  <si>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</si>
  <si>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</si>
  <si>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</si>
  <si>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</si>
  <si>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</si>
  <si>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</si>
  <si>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</si>
  <si>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</si>
  <si>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</si>
  <si>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</si>
  <si>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</si>
  <si>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</si>
  <si>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</si>
  <si>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</si>
  <si>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</si>
  <si>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</si>
  <si>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</si>
  <si>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</si>
  <si>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</si>
  <si>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</si>
  <si>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</si>
  <si>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</si>
  <si>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</si>
  <si>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</si>
  <si>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</si>
  <si>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</si>
  <si>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</si>
  <si>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</si>
  <si>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</si>
  <si>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</si>
  <si>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</si>
  <si>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</si>
  <si>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</si>
  <si>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</si>
  <si>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</si>
  <si>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</si>
  <si>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</si>
  <si>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</si>
  <si>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</si>
  <si>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</si>
  <si>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</si>
  <si>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</si>
  <si>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</si>
  <si>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</si>
  <si>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</si>
  <si>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</si>
  <si>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</si>
  <si>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</si>
  <si>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</si>
  <si>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</si>
  <si>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</si>
  <si>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</si>
  <si>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</si>
  <si>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</si>
  <si>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</si>
  <si>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</si>
  <si>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</si>
  <si>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</si>
  <si>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</si>
  <si>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</si>
  <si>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</si>
  <si>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</si>
  <si>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</si>
  <si>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</si>
  <si>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</si>
  <si>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</si>
  <si>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</si>
  <si>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</si>
  <si>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</si>
  <si>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</si>
  <si>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</si>
  <si>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</si>
  <si>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</si>
  <si>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</si>
  <si>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</si>
  <si>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</si>
  <si>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</si>
  <si>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</si>
  <si>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</si>
  <si>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</si>
  <si>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</si>
  <si>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</si>
  <si>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</si>
  <si>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</si>
  <si>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</si>
  <si>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</si>
  <si>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</si>
  <si>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</si>
  <si>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</si>
  <si>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</si>
  <si>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</si>
  <si>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</si>
  <si>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</si>
  <si>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</si>
  <si>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</si>
  <si>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</si>
  <si>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</si>
  <si>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</si>
  <si>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</si>
  <si>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</si>
  <si>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</si>
  <si>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</si>
  <si>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</si>
  <si>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</si>
  <si>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</si>
  <si>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</si>
  <si>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</si>
  <si>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</si>
  <si>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</si>
  <si>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</si>
  <si>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</si>
  <si>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</si>
  <si>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</si>
  <si>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</si>
  <si>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</si>
  <si>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</si>
  <si>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</si>
  <si>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</si>
  <si>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</si>
  <si>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</si>
  <si>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</si>
  <si>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</si>
  <si>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</si>
  <si>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</si>
  <si>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</si>
  <si>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</si>
  <si>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</si>
  <si>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</si>
  <si>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</si>
  <si>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</si>
  <si>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</si>
  <si>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</si>
  <si>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</si>
  <si>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</si>
  <si>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</si>
  <si>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</si>
  <si>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</si>
  <si>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</si>
  <si>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</si>
  <si>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</si>
  <si>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</si>
  <si>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</si>
  <si>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</si>
  <si>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</si>
  <si>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</si>
  <si>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</si>
  <si>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</si>
  <si>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</si>
  <si>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</si>
  <si>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</si>
  <si>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</si>
  <si>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</si>
  <si>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</si>
  <si>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</si>
  <si>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</si>
  <si>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</si>
  <si>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</si>
  <si>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</si>
  <si>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</si>
  <si>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</si>
  <si>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</si>
  <si>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</si>
  <si>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</si>
  <si>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</si>
  <si>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</si>
  <si>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</si>
  <si>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</si>
  <si>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</si>
  <si>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</si>
  <si>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</si>
  <si>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</si>
  <si>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</si>
  <si>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</si>
  <si>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</si>
  <si>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</si>
  <si>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</si>
  <si>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</si>
  <si>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</si>
  <si>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</si>
  <si>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</si>
  <si>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</si>
  <si>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</si>
  <si>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</si>
  <si>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</si>
  <si>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</si>
  <si>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</si>
  <si>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</si>
  <si>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</si>
  <si>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</si>
  <si>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</si>
  <si>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</si>
  <si>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</si>
  <si>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</si>
  <si>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</si>
  <si>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</si>
  <si>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</si>
  <si>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</si>
  <si>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</si>
  <si>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</si>
  <si>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</si>
  <si>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</si>
  <si>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</si>
  <si>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</si>
  <si>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</si>
  <si>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</si>
  <si>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</si>
  <si>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</si>
  <si>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</si>
  <si>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</si>
  <si>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</si>
  <si>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</si>
  <si>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</si>
  <si>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</si>
  <si>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</si>
  <si>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</si>
  <si>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</si>
  <si>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</si>
  <si>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</si>
  <si>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</si>
  <si>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</si>
  <si>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</si>
  <si>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</si>
  <si>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</si>
  <si>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</si>
  <si>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</si>
  <si>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</si>
  <si>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</si>
  <si>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</si>
  <si>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</si>
  <si>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</si>
  <si>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</si>
  <si>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</si>
  <si>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</si>
  <si>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</si>
  <si>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</si>
  <si>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</si>
  <si>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</si>
  <si>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</si>
  <si>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</si>
  <si>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</si>
  <si>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</si>
  <si>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</si>
  <si>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</si>
  <si>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</si>
  <si>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</si>
  <si>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</si>
  <si>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</si>
  <si>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</si>
  <si>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</si>
  <si>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</si>
  <si>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</si>
  <si>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</si>
  <si>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</si>
  <si>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</si>
  <si>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</si>
  <si>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</si>
  <si>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</si>
  <si>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</si>
  <si>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</si>
  <si>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</si>
  <si>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</si>
  <si>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</si>
  <si>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</si>
  <si>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</si>
  <si>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</si>
  <si>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</si>
  <si>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</si>
  <si>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</si>
  <si>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</si>
  <si>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</si>
  <si>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</si>
  <si>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</si>
  <si>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</si>
  <si>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</si>
  <si>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</si>
  <si>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</si>
  <si>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</si>
  <si>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</si>
  <si>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</si>
  <si>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</si>
  <si>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</si>
  <si>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</si>
  <si>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</si>
  <si>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</si>
  <si>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</si>
  <si>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</si>
  <si>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</si>
  <si>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</si>
  <si>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</si>
  <si>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</si>
  <si>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</si>
  <si>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</si>
  <si>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</si>
  <si>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</si>
  <si>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</si>
  <si>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</si>
  <si>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</si>
  <si>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</si>
  <si>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</si>
  <si>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</si>
  <si>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</si>
  <si>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</si>
  <si>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</si>
  <si>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</si>
  <si>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</si>
  <si>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</si>
  <si>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</si>
  <si>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</si>
  <si>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</si>
  <si>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</si>
  <si>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</si>
  <si>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</si>
  <si>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</si>
  <si>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</si>
  <si>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</si>
  <si>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</si>
  <si>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</si>
  <si>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</si>
  <si>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</si>
  <si>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</si>
  <si>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</si>
  <si>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</si>
  <si>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</si>
  <si>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</si>
  <si>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</si>
  <si>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</si>
  <si>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</si>
  <si>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</si>
  <si>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</si>
  <si>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</si>
  <si>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</si>
  <si>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</si>
  <si>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</si>
  <si>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</si>
  <si>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</si>
  <si>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</si>
  <si>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</si>
  <si>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</si>
  <si>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</si>
  <si>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</si>
  <si>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</si>
  <si>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</si>
  <si>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</si>
  <si>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</si>
  <si>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</si>
  <si>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</si>
  <si>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</si>
  <si>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</si>
  <si>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</si>
  <si>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</si>
  <si>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</si>
  <si>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</si>
  <si>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</si>
  <si>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</si>
  <si>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</si>
  <si>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</si>
  <si>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</si>
  <si>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</si>
  <si>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</si>
  <si>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</si>
  <si>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</si>
  <si>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</si>
  <si>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</si>
  <si>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</si>
  <si>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</si>
  <si>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</si>
  <si>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</si>
  <si>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</si>
  <si>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</si>
  <si>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</si>
  <si>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</si>
  <si>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</si>
  <si>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</si>
  <si>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</si>
  <si>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</si>
  <si>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</si>
  <si>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</si>
  <si>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</si>
  <si>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</si>
  <si>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</si>
  <si>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</si>
  <si>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</si>
  <si>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</si>
  <si>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</si>
  <si>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</si>
  <si>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</si>
  <si>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</si>
  <si>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</si>
  <si>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</si>
  <si>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</si>
  <si>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</si>
  <si>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</si>
  <si>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</si>
  <si>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</si>
  <si>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</si>
  <si>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</si>
  <si>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</si>
  <si>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</si>
  <si>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</si>
  <si>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</si>
  <si>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</si>
  <si>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</si>
  <si>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</si>
  <si>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</si>
  <si>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</si>
  <si>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</si>
  <si>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</si>
  <si>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</si>
  <si>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</si>
  <si>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</si>
  <si>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</si>
  <si>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</si>
  <si>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</si>
  <si>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</si>
  <si>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</si>
  <si>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</si>
  <si>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</si>
  <si>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</si>
  <si>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</si>
  <si>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</si>
  <si>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</si>
  <si>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</si>
  <si>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</si>
  <si>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</si>
  <si>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</si>
  <si>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</si>
  <si>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</si>
  <si>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</si>
  <si>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</si>
  <si>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</si>
  <si>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</si>
  <si>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</si>
  <si>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</si>
  <si>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</si>
  <si>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</si>
  <si>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</si>
  <si>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</si>
  <si>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</si>
  <si>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</si>
  <si>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</si>
  <si>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</si>
  <si>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</si>
  <si>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</si>
  <si>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</si>
  <si>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</si>
  <si>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</si>
  <si>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</si>
  <si>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</si>
  <si>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</si>
  <si>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</si>
  <si>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</si>
  <si>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</si>
  <si>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</si>
  <si>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</si>
  <si>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</si>
  <si>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</si>
  <si>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</si>
  <si>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</si>
  <si>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</si>
  <si>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</si>
  <si>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</si>
  <si>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</si>
  <si>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</si>
  <si>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</si>
  <si>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</si>
  <si>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</si>
  <si>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</si>
  <si>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</si>
  <si>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</si>
  <si>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</si>
  <si>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</si>
  <si>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</si>
  <si>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</si>
  <si>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</si>
  <si>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</si>
  <si>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</si>
  <si>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</si>
  <si>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</si>
  <si>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</si>
  <si>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</si>
  <si>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</si>
  <si>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</si>
  <si>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</si>
  <si>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</si>
  <si>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</si>
  <si>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</si>
  <si>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</si>
  <si>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</si>
  <si>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</si>
  <si>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</si>
  <si>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</si>
  <si>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</si>
  <si>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</si>
  <si>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</si>
  <si>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</si>
  <si>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</si>
  <si>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</si>
  <si>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</si>
  <si>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</si>
  <si>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</si>
  <si>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</si>
  <si>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</si>
  <si>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</si>
  <si>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</si>
  <si>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</si>
  <si>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</si>
  <si>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</si>
  <si>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</si>
  <si>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</si>
  <si>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</si>
  <si>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</si>
  <si>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</si>
  <si>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</si>
  <si>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</si>
  <si>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</si>
  <si>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</si>
  <si>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</si>
  <si>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</si>
  <si>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</si>
  <si>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</si>
  <si>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</si>
  <si>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</si>
  <si>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</si>
  <si>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</si>
  <si>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</si>
  <si>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</si>
  <si>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</si>
  <si>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</si>
  <si>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</si>
  <si>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</si>
  <si>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</si>
  <si>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</si>
  <si>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</si>
  <si>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</si>
  <si>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</si>
  <si>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</si>
  <si>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</si>
  <si>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</si>
  <si>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</si>
  <si>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</si>
  <si>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</si>
  <si>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</si>
  <si>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</si>
  <si>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</si>
  <si>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</si>
  <si>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</si>
  <si>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</si>
  <si>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</si>
  <si>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</si>
  <si>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</si>
  <si>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</si>
  <si>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</si>
  <si>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</si>
  <si>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</si>
  <si>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</si>
  <si>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</si>
  <si>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</si>
  <si>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</si>
  <si>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</si>
  <si>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</si>
  <si>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</si>
  <si>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</si>
  <si>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</si>
  <si>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</si>
  <si>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</si>
  <si>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</si>
  <si>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</si>
  <si>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</si>
  <si>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</si>
  <si>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</si>
  <si>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</si>
  <si>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</si>
  <si>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</si>
  <si>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</si>
  <si>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</si>
  <si>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</si>
  <si>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</si>
  <si>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</si>
  <si>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</si>
  <si>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</si>
  <si>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</si>
  <si>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</si>
  <si>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</si>
  <si>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</si>
  <si>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</si>
  <si>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</si>
  <si>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</si>
  <si>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</si>
  <si>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</si>
  <si>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</si>
  <si>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</si>
  <si>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</si>
  <si>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</si>
  <si>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</si>
  <si>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</si>
  <si>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</si>
  <si>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</si>
  <si>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</si>
  <si>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</si>
  <si>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</si>
  <si>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</si>
  <si>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</si>
  <si>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</si>
  <si>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</si>
  <si>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</si>
  <si>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</si>
  <si>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</si>
  <si>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</si>
  <si>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</si>
  <si>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</si>
  <si>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</si>
  <si>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</si>
  <si>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</si>
  <si>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</si>
  <si>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</si>
  <si>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</si>
  <si>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</si>
  <si>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</si>
  <si>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</si>
  <si>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</si>
  <si>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</si>
  <si>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</si>
  <si>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</si>
  <si>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</si>
  <si>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</si>
  <si>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</si>
  <si>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</si>
  <si>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</si>
  <si>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</si>
  <si>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</si>
  <si>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</si>
  <si>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</si>
  <si>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</si>
  <si>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</si>
  <si>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</si>
  <si>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</si>
  <si>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</si>
  <si>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</si>
  <si>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</si>
  <si>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</si>
  <si>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</si>
  <si>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</si>
  <si>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</si>
  <si>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</si>
  <si>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</si>
  <si>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</si>
  <si>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</si>
  <si>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</si>
  <si>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</si>
  <si>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</si>
  <si>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</si>
  <si>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</si>
  <si>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</si>
  <si>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</si>
  <si>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</si>
  <si>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</si>
  <si>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</si>
  <si>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</si>
  <si>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</si>
  <si>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</si>
  <si>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</si>
  <si>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</si>
  <si>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</si>
  <si>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</si>
  <si>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</si>
  <si>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</si>
  <si>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</si>
  <si>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</si>
  <si>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</si>
  <si>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</si>
  <si>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</si>
  <si>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</si>
  <si>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</si>
  <si>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</si>
  <si>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</si>
  <si>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</si>
  <si>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</si>
  <si>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</si>
  <si>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</si>
  <si>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</si>
  <si>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</si>
  <si>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</si>
  <si>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</si>
  <si>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</si>
  <si>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</si>
  <si>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</si>
  <si>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</si>
  <si>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</si>
  <si>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</si>
  <si>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</si>
  <si>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</si>
  <si>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</si>
  <si>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</si>
  <si>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</si>
  <si>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</si>
  <si>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</si>
  <si>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</si>
  <si>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</si>
  <si>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</si>
  <si>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</si>
  <si>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</si>
  <si>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</si>
  <si>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</si>
  <si>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</si>
  <si>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</si>
  <si>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</si>
  <si>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</si>
  <si>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</si>
  <si>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</si>
  <si>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</si>
  <si>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</si>
  <si>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</si>
  <si>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</si>
  <si>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</si>
  <si>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</si>
  <si>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</si>
  <si>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</si>
  <si>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</si>
  <si>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</si>
  <si>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</si>
  <si>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</si>
  <si>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</si>
  <si>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</si>
  <si>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</si>
  <si>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</si>
  <si>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</si>
  <si>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</si>
  <si>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</si>
  <si>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</si>
  <si>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</si>
  <si>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</si>
  <si>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</si>
  <si>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</si>
  <si>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</si>
  <si>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</si>
  <si>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</si>
  <si>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</si>
  <si>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</si>
  <si>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</si>
  <si>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</si>
  <si>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</si>
  <si>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</si>
  <si>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</si>
  <si>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</si>
  <si>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</si>
  <si>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</si>
  <si>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</si>
  <si>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</si>
  <si>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</si>
  <si>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</si>
  <si>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</si>
  <si>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</si>
  <si>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</si>
  <si>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</si>
  <si>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</si>
  <si>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</si>
  <si>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</si>
  <si>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</si>
  <si>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</si>
  <si>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</si>
  <si>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</si>
  <si>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</si>
  <si>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</si>
  <si>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</si>
  <si>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</si>
  <si>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</si>
  <si>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</si>
  <si>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</si>
  <si>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</si>
  <si>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</si>
  <si>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</si>
  <si>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</si>
  <si>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</si>
  <si>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</si>
  <si>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</si>
  <si>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</si>
  <si>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</si>
  <si>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</si>
  <si>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</si>
  <si>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</si>
  <si>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</si>
  <si>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</si>
  <si>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</si>
  <si>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</si>
  <si>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</si>
  <si>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</si>
  <si>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</si>
  <si>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</si>
  <si>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</si>
  <si>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</si>
  <si>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</si>
  <si>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</si>
  <si>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</si>
  <si>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</si>
  <si>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</si>
  <si>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</si>
  <si>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</si>
  <si>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</si>
  <si>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</si>
  <si>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</si>
  <si>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</si>
  <si>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</si>
  <si>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</si>
  <si>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</si>
  <si>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</si>
  <si>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</si>
  <si>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</si>
  <si>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</si>
  <si>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</si>
  <si>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</si>
  <si>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</si>
  <si>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</si>
  <si>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</si>
  <si>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</si>
  <si>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</si>
  <si>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</si>
  <si>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</si>
  <si>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</si>
  <si>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</si>
  <si>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</si>
  <si>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</si>
  <si>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</si>
  <si>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</si>
  <si>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</si>
  <si>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</si>
  <si>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</si>
  <si>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</si>
  <si>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</si>
  <si>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</si>
  <si>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</si>
  <si>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</si>
  <si>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</si>
  <si>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</si>
  <si>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</si>
  <si>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</si>
  <si>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</si>
  <si>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</si>
  <si>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</si>
  <si>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</si>
  <si>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</si>
  <si>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</si>
  <si>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</si>
  <si>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</si>
  <si>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</si>
  <si>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</si>
  <si>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</si>
  <si>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</si>
  <si>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</si>
  <si>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</si>
  <si>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</si>
  <si>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</si>
  <si>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</si>
  <si>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</si>
  <si>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</si>
  <si>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</si>
  <si>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</si>
  <si>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</si>
  <si>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</si>
  <si>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</si>
  <si>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</si>
  <si>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</si>
  <si>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</si>
  <si>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</si>
  <si>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</si>
  <si>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</si>
  <si>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</si>
  <si>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</si>
  <si>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</si>
  <si>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</si>
  <si>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</si>
  <si>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</si>
  <si>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</si>
  <si>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</si>
  <si>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</si>
  <si>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</si>
  <si>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</si>
  <si>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</si>
  <si>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</si>
  <si>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</si>
  <si>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</si>
  <si>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</si>
  <si>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</si>
  <si>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</si>
  <si>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</si>
  <si>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</si>
  <si>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</si>
  <si>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</si>
  <si>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</si>
  <si>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</si>
  <si>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</si>
  <si>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</si>
  <si>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</si>
  <si>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</si>
  <si>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</si>
  <si>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</si>
  <si>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</si>
  <si>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</si>
  <si>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</si>
  <si>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</si>
  <si>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</si>
  <si>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</si>
  <si>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</si>
  <si>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</si>
  <si>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</si>
  <si>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</si>
  <si>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</si>
  <si>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</si>
  <si>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</si>
  <si>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</si>
  <si>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</si>
  <si>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</si>
  <si>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</si>
  <si>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</si>
  <si>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</si>
  <si>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</si>
  <si>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</si>
  <si>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</si>
  <si>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</si>
  <si>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</si>
  <si>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</si>
  <si>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</si>
  <si>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</si>
  <si>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</si>
  <si>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</si>
  <si>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</si>
  <si>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</si>
  <si>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</si>
  <si>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</si>
  <si>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</si>
  <si>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</si>
  <si>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</si>
  <si>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</si>
  <si>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</si>
  <si>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</si>
  <si>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</si>
  <si>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</si>
  <si>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</si>
  <si>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</si>
  <si>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</si>
  <si>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</si>
  <si>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</si>
  <si>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</si>
  <si>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</si>
  <si>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</si>
  <si>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</si>
  <si>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</si>
  <si>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</si>
  <si>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</si>
  <si>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</si>
  <si>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</si>
  <si>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</si>
  <si>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</si>
  <si>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</si>
  <si>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</si>
  <si>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</si>
  <si>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</si>
  <si>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</si>
  <si>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</si>
  <si>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</si>
  <si>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</si>
  <si>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</si>
  <si>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</si>
  <si>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</si>
  <si>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</si>
  <si>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</si>
  <si>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</si>
  <si>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</si>
  <si>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</si>
  <si>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</si>
  <si>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</si>
  <si>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</si>
  <si>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</si>
  <si>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</si>
  <si>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</si>
  <si>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</si>
  <si>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</si>
  <si>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</si>
  <si>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</si>
  <si>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</si>
  <si>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</si>
  <si>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</si>
  <si>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</si>
  <si>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</si>
  <si>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</si>
  <si>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</si>
  <si>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</si>
  <si>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</si>
  <si>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</si>
  <si>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</si>
  <si>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</si>
  <si>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</si>
  <si>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</si>
  <si>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</si>
  <si>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</si>
  <si>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</si>
  <si>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</si>
  <si>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</si>
  <si>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</si>
  <si>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</si>
  <si>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</si>
  <si>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</si>
  <si>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</si>
  <si>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</si>
  <si>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</si>
  <si>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</si>
  <si>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</si>
  <si>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</si>
  <si>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</si>
  <si>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</si>
  <si>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</si>
  <si>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</si>
  <si>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</si>
  <si>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</si>
  <si>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</si>
  <si>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</si>
  <si>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</si>
  <si>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</si>
  <si>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</si>
  <si>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</si>
  <si>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</si>
  <si>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</si>
  <si>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</si>
  <si>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</si>
  <si>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</si>
  <si>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</si>
  <si>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</si>
  <si>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</si>
  <si>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</si>
  <si>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</si>
  <si>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</si>
  <si>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</si>
  <si>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</si>
  <si>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</si>
  <si>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</si>
  <si>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</si>
  <si>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</si>
  <si>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</si>
  <si>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</si>
  <si>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</si>
  <si>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</si>
  <si>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</si>
  <si>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</si>
  <si>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</si>
  <si>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</si>
  <si>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</si>
  <si>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</si>
  <si>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</si>
  <si>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</si>
  <si>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</si>
  <si>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</si>
  <si>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</si>
  <si>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</si>
  <si>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</si>
  <si>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</si>
  <si>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</si>
  <si>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</si>
  <si>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</si>
  <si>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</si>
  <si>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</si>
  <si>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</si>
  <si>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</si>
  <si>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</si>
  <si>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</si>
  <si>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</si>
  <si>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</si>
  <si>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</si>
  <si>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</si>
  <si>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</si>
  <si>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</si>
  <si>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</si>
  <si>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</si>
  <si>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</si>
  <si>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</si>
  <si>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</si>
  <si>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</si>
  <si>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</si>
  <si>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</si>
  <si>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</si>
  <si>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</si>
  <si>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</si>
  <si>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</si>
  <si>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</si>
  <si>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</si>
  <si>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</si>
  <si>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</si>
  <si>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</si>
  <si>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</si>
  <si>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</si>
  <si>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</si>
  <si>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</si>
  <si>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</si>
  <si>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</si>
  <si>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</si>
  <si>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</si>
  <si>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</si>
  <si>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</si>
  <si>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</si>
  <si>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</si>
  <si>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</si>
  <si>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</si>
  <si>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</si>
  <si>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</si>
  <si>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</si>
  <si>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</si>
  <si>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</si>
  <si>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</si>
  <si>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</si>
  <si>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</si>
  <si>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</si>
  <si>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</si>
  <si>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</si>
  <si>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</si>
  <si>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</si>
  <si>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</si>
  <si>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</si>
  <si>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</si>
  <si>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</si>
  <si>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</si>
  <si>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</si>
  <si>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</si>
  <si>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</si>
  <si>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</si>
  <si>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</si>
  <si>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</si>
  <si>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</si>
  <si>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</si>
  <si>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</si>
  <si>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</si>
  <si>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</si>
  <si>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</si>
  <si>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</si>
  <si>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</si>
  <si>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</si>
  <si>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</si>
  <si>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</si>
  <si>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</si>
  <si>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</si>
  <si>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</si>
  <si>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</si>
  <si>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</si>
  <si>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</si>
  <si>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</si>
  <si>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</si>
  <si>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</si>
  <si>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</si>
  <si>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</si>
  <si>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</si>
  <si>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</si>
  <si>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</si>
  <si>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</si>
  <si>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</si>
  <si>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</si>
  <si>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</si>
  <si>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</si>
  <si>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</si>
  <si>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</si>
  <si>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</si>
  <si>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</si>
  <si>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</si>
  <si>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</si>
  <si>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</si>
  <si>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</si>
  <si>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</si>
  <si>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</si>
  <si>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</si>
  <si>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</si>
  <si>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</si>
  <si>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</si>
  <si>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</si>
  <si>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</si>
  <si>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</si>
  <si>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</si>
  <si>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</si>
  <si>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</si>
  <si>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</si>
  <si>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</si>
  <si>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</si>
  <si>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</si>
  <si>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</si>
  <si>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</si>
  <si>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</si>
  <si>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</si>
  <si>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</si>
  <si>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</si>
  <si>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</si>
  <si>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</si>
  <si>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</si>
  <si>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</si>
  <si>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</si>
  <si>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</si>
  <si>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</si>
  <si>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</si>
  <si>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</si>
  <si>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</si>
  <si>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</si>
  <si>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</si>
  <si>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</si>
  <si>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</si>
  <si>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</si>
  <si>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</si>
  <si>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</si>
  <si>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</si>
  <si>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</si>
  <si>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</si>
  <si>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</si>
  <si>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</si>
  <si>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</si>
  <si>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</si>
  <si>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</si>
  <si>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</si>
  <si>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</si>
  <si>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</si>
  <si>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</si>
  <si>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</si>
  <si>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</si>
  <si>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</si>
  <si>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</si>
  <si>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</si>
  <si>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</si>
  <si>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</si>
  <si>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</si>
  <si>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</si>
  <si>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</si>
  <si>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</si>
  <si>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</si>
  <si>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</si>
  <si>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</si>
  <si>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</si>
  <si>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</si>
  <si>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</si>
  <si>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</si>
  <si>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</si>
  <si>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</si>
  <si>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</si>
  <si>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</si>
  <si>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</si>
  <si>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</si>
  <si>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</si>
  <si>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</si>
  <si>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</si>
  <si>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</si>
  <si>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</si>
  <si>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</si>
  <si>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</si>
  <si>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</si>
  <si>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</si>
  <si>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</si>
  <si>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</si>
  <si>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</si>
  <si>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</si>
  <si>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</si>
  <si>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</si>
  <si>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</si>
  <si>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</si>
  <si>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</si>
  <si>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</si>
  <si>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</si>
  <si>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</si>
  <si>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</si>
  <si>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</si>
  <si>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</si>
  <si>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</si>
  <si>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</si>
  <si>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</si>
  <si>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</si>
  <si>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</si>
  <si>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</si>
  <si>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</si>
  <si>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</si>
  <si>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</si>
  <si>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</si>
  <si>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</si>
  <si>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</si>
  <si>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</si>
  <si>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</si>
  <si>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</si>
  <si>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</si>
  <si>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</si>
  <si>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</si>
  <si>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</si>
  <si>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</si>
  <si>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</si>
  <si>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</si>
  <si>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</si>
  <si>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</si>
  <si>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</si>
  <si>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</si>
  <si>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</si>
  <si>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</si>
  <si>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</si>
  <si>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</si>
  <si>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</si>
  <si>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</si>
  <si>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</si>
  <si>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</si>
  <si>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</si>
  <si>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</si>
  <si>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</si>
  <si>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</si>
  <si>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</si>
  <si>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</si>
  <si>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</si>
  <si>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</si>
  <si>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</si>
  <si>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</si>
  <si>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</si>
  <si>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</si>
  <si>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</si>
  <si>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</si>
  <si>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</si>
  <si>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</si>
  <si>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</si>
  <si>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</si>
  <si>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</si>
  <si>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</si>
  <si>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</si>
  <si>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</si>
  <si>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</si>
  <si>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</si>
  <si>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</si>
  <si>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</si>
  <si>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</si>
  <si>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</si>
  <si>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</si>
  <si>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</si>
  <si>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</si>
  <si>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</si>
  <si>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</si>
  <si>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</si>
  <si>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</si>
  <si>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</si>
  <si>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</si>
  <si>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</si>
  <si>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</si>
  <si>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</si>
  <si>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</si>
  <si>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</si>
  <si>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</si>
  <si>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</si>
  <si>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</si>
  <si>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</si>
  <si>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</si>
  <si>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</si>
  <si>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</si>
  <si>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</si>
  <si>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</si>
  <si>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</si>
  <si>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</si>
  <si>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</si>
  <si>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</si>
  <si>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</si>
  <si>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</si>
  <si>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</si>
  <si>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</si>
  <si>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</si>
  <si>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</si>
  <si>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</si>
  <si>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</si>
  <si>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</si>
  <si>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</si>
  <si>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</si>
  <si>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</si>
  <si>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</si>
  <si>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</si>
  <si>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</si>
  <si>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</si>
  <si>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</si>
  <si>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</si>
  <si>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</si>
  <si>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</si>
  <si>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</si>
  <si>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</si>
  <si>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</si>
  <si>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</si>
  <si>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</si>
  <si>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</si>
  <si>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</si>
  <si>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</si>
  <si>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</si>
  <si>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</si>
  <si>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</si>
  <si>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</si>
  <si>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</si>
  <si>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</si>
  <si>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</si>
  <si>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</si>
  <si>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</si>
  <si>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</si>
  <si>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</si>
  <si>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</si>
  <si>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</si>
  <si>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</si>
  <si>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</si>
  <si>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</si>
  <si>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</si>
  <si>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</si>
  <si>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</si>
  <si>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</si>
  <si>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</si>
  <si>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</si>
  <si>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</si>
  <si>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</si>
  <si>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</si>
  <si>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</si>
  <si>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</si>
  <si>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</si>
  <si>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</si>
  <si>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</si>
  <si>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</si>
  <si>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</si>
  <si>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</si>
  <si>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</si>
  <si>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</si>
  <si>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</si>
  <si>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</si>
  <si>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</si>
  <si>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</si>
  <si>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</si>
  <si>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</si>
  <si>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</si>
  <si>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</si>
  <si>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</si>
  <si>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</si>
  <si>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</si>
  <si>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</si>
  <si>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</si>
  <si>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</si>
  <si>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</si>
  <si>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</si>
  <si>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</si>
  <si>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</si>
  <si>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</si>
  <si>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</si>
  <si>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</si>
  <si>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</si>
  <si>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</si>
  <si>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</si>
  <si>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</si>
  <si>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</si>
  <si>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</si>
  <si>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</si>
  <si>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</si>
  <si>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</si>
  <si>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</si>
  <si>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</si>
  <si>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</si>
  <si>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</si>
  <si>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</si>
  <si>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</si>
  <si>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</si>
  <si>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</si>
  <si>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</si>
  <si>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</si>
  <si>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</si>
  <si>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</si>
  <si>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</si>
  <si>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</si>
  <si>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</si>
  <si>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</si>
  <si>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</si>
  <si>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</si>
  <si>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</si>
  <si>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</si>
  <si>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</si>
  <si>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</si>
  <si>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</si>
  <si>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</si>
  <si>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</si>
  <si>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</si>
  <si>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</si>
  <si>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</si>
  <si>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</si>
  <si>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</si>
  <si>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</si>
  <si>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</si>
  <si>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</si>
  <si>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</si>
  <si>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</si>
  <si>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</si>
  <si>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</si>
  <si>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</si>
  <si>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</si>
  <si>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</si>
  <si>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</si>
  <si>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</si>
  <si>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</si>
  <si>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</si>
  <si>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</si>
  <si>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</si>
  <si>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</si>
  <si>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</si>
  <si>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</si>
  <si>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</si>
  <si>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</si>
  <si>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</si>
  <si>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</si>
  <si>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</si>
  <si>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</si>
  <si>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</si>
  <si>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</si>
  <si>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</si>
  <si>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</si>
  <si>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</si>
  <si>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</si>
  <si>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</si>
  <si>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</si>
  <si>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</si>
  <si>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</si>
  <si>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</si>
  <si>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</si>
  <si>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</si>
  <si>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</si>
  <si>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</si>
  <si>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</si>
  <si>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</si>
  <si>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</si>
  <si>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</si>
  <si>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</si>
  <si>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</si>
  <si>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</si>
  <si>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</si>
  <si>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</si>
  <si>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</si>
  <si>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</si>
  <si>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</si>
  <si>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</si>
  <si>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</si>
  <si>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</si>
  <si>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</si>
  <si>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</si>
  <si>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</si>
  <si>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</si>
  <si>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</si>
  <si>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</si>
  <si>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</si>
  <si>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</si>
  <si>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</si>
  <si>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</si>
  <si>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</si>
  <si>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</si>
  <si>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</si>
  <si>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</si>
  <si>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</si>
  <si>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</si>
  <si>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</si>
  <si>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</si>
  <si>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</si>
  <si>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</si>
  <si>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</si>
  <si>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</si>
  <si>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</si>
  <si>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</si>
  <si>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</si>
  <si>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</si>
  <si>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</si>
  <si>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</si>
  <si>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</si>
  <si>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</si>
  <si>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</si>
  <si>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</si>
  <si>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</si>
  <si>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</si>
  <si>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</si>
  <si>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</si>
  <si>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</si>
  <si>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</si>
  <si>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</si>
  <si>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</si>
  <si>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</si>
  <si>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</si>
  <si>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</si>
  <si>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</si>
  <si>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</si>
  <si>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</si>
  <si>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</si>
  <si>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</si>
  <si>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</si>
  <si>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</si>
  <si>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</si>
  <si>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</si>
  <si>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</si>
  <si>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</si>
  <si>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</si>
  <si>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</si>
  <si>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</si>
  <si>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</si>
  <si>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</si>
  <si>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</si>
  <si>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</si>
  <si>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</si>
  <si>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</si>
  <si>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</si>
  <si>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</si>
  <si>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</si>
  <si>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</si>
  <si>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</si>
  <si>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</si>
  <si>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</si>
  <si>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</si>
  <si>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</si>
  <si>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</si>
  <si>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</si>
  <si>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</si>
  <si>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</si>
  <si>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</si>
  <si>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</si>
  <si>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</si>
  <si>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</si>
  <si>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</si>
  <si>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</si>
  <si>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</si>
  <si>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</si>
  <si>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</si>
  <si>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</si>
  <si>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</si>
  <si>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</si>
  <si>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</si>
  <si>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</si>
  <si>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</si>
  <si>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</si>
  <si>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</si>
  <si>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</si>
  <si>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</si>
  <si>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</si>
  <si>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</si>
  <si>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</si>
  <si>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</si>
  <si>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</si>
  <si>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</si>
  <si>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</si>
  <si>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</si>
  <si>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</si>
  <si>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</si>
  <si>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</si>
  <si>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</si>
  <si>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</si>
  <si>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</si>
  <si>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</si>
  <si>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</si>
  <si>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</si>
  <si>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</si>
  <si>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</si>
  <si>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</si>
  <si>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</si>
  <si>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</si>
  <si>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</si>
  <si>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</si>
  <si>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</si>
  <si>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</si>
  <si>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</si>
  <si>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</si>
  <si>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</si>
  <si>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</si>
  <si>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</si>
  <si>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</si>
  <si>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</si>
  <si>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</si>
  <si>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</si>
  <si>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</si>
  <si>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</si>
  <si>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</si>
  <si>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</si>
  <si>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</si>
  <si>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</si>
  <si>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</si>
  <si>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</si>
  <si>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</si>
  <si>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</si>
  <si>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</si>
  <si>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</si>
  <si>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</si>
  <si>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</si>
  <si>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</si>
  <si>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</si>
  <si>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</si>
  <si>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</si>
  <si>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</si>
  <si>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</si>
  <si>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</si>
  <si>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</si>
  <si>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</si>
  <si>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</si>
  <si>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</si>
  <si>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</si>
  <si>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</si>
  <si>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</si>
  <si>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</si>
  <si>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</si>
  <si>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</si>
  <si>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</si>
  <si>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</si>
  <si>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</si>
  <si>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</si>
  <si>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</si>
  <si>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</si>
  <si>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</si>
  <si>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</si>
  <si>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</si>
  <si>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</si>
  <si>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</si>
  <si>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</si>
  <si>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</si>
  <si>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</si>
  <si>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</si>
  <si>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</si>
  <si>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</si>
  <si>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</si>
  <si>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</si>
  <si>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</si>
  <si>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</si>
  <si>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</si>
  <si>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</si>
  <si>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</si>
  <si>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</si>
  <si>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</si>
  <si>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</si>
  <si>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</si>
  <si>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</si>
  <si>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</si>
  <si>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</si>
  <si>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</si>
  <si>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</si>
  <si>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</si>
  <si>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</si>
  <si>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</si>
  <si>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</si>
  <si>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</si>
  <si>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</si>
  <si>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</si>
  <si>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</si>
  <si>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</si>
  <si>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</si>
  <si>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</si>
  <si>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</si>
  <si>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</si>
  <si>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</si>
  <si>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</si>
  <si>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</si>
  <si>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</si>
  <si>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</si>
  <si>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</si>
  <si>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</si>
  <si>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</si>
  <si>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</si>
  <si>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</si>
  <si>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</si>
  <si>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</si>
  <si>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</si>
  <si>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</si>
  <si>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</si>
  <si>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</si>
  <si>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</si>
  <si>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</si>
  <si>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</si>
  <si>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</si>
  <si>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</si>
  <si>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</si>
  <si>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</si>
  <si>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</si>
  <si>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</si>
  <si>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</si>
  <si>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</si>
  <si>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</si>
  <si>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</si>
  <si>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</si>
  <si>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</si>
  <si>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</si>
  <si>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</si>
  <si>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</si>
  <si>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</si>
  <si>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</si>
  <si>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</si>
  <si>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</si>
  <si>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</si>
  <si>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</si>
  <si>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</si>
  <si>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</si>
  <si>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</si>
  <si>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</si>
  <si>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</si>
  <si>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</si>
  <si>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</si>
  <si>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</si>
  <si>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</si>
  <si>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</si>
  <si>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</si>
  <si>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</si>
  <si>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</si>
  <si>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</si>
  <si>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</si>
  <si>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</si>
  <si>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</si>
  <si>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</si>
  <si>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</si>
  <si>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</si>
  <si>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</si>
  <si>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</si>
  <si>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</si>
  <si>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</si>
  <si>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</si>
  <si>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</si>
  <si>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</si>
  <si>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</si>
  <si>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</si>
  <si>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</si>
  <si>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</si>
  <si>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</si>
  <si>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</si>
  <si>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</si>
  <si>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</si>
  <si>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</si>
  <si>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</si>
  <si>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</si>
  <si>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</si>
  <si>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</si>
  <si>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</si>
  <si>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</si>
  <si>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</si>
  <si>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</si>
  <si>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</si>
  <si>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</si>
  <si>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</si>
  <si>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</si>
  <si>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</si>
  <si>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</si>
  <si>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</si>
  <si>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</si>
  <si>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</si>
  <si>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</si>
  <si>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</si>
  <si>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</si>
  <si>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</si>
  <si>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</si>
  <si>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</si>
  <si>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</si>
  <si>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</si>
  <si>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</si>
  <si>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</si>
  <si>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</si>
  <si>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</si>
  <si>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</si>
  <si>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</si>
  <si>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</si>
  <si>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</si>
  <si>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</si>
  <si>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</si>
  <si>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</si>
  <si>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</si>
  <si>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</si>
  <si>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</si>
  <si>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</si>
  <si>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</si>
  <si>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</si>
  <si>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</si>
  <si>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</si>
  <si>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</si>
  <si>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</si>
  <si>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</si>
  <si>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</si>
  <si>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</si>
  <si>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</si>
  <si>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</si>
  <si>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</si>
  <si>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</si>
  <si>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</si>
  <si>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</si>
  <si>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</si>
  <si>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</si>
  <si>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</si>
  <si>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</si>
  <si>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</si>
  <si>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</si>
  <si>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</si>
  <si>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</si>
  <si>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</si>
  <si>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</si>
  <si>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</si>
  <si>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</si>
  <si>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</si>
  <si>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</si>
  <si>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</si>
  <si>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</si>
  <si>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</si>
  <si>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</si>
  <si>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</si>
  <si>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</si>
  <si>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</si>
  <si>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</si>
  <si>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</si>
  <si>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</si>
  <si>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</si>
  <si>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</si>
  <si>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</si>
  <si>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</si>
  <si>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</si>
  <si>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</si>
  <si>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</si>
  <si>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</si>
  <si>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</si>
  <si>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</si>
  <si>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</si>
  <si>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</si>
  <si>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</si>
  <si>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</si>
  <si>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</si>
  <si>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</si>
  <si>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</si>
  <si>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</si>
  <si>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</si>
  <si>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</si>
  <si>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</si>
  <si>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</si>
  <si>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</si>
  <si>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</si>
  <si>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</si>
  <si>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</si>
  <si>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</si>
  <si>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</si>
  <si>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</si>
  <si>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</si>
  <si>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</si>
  <si>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</si>
  <si>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</si>
  <si>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</si>
  <si>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</si>
  <si>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</si>
  <si>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</si>
  <si>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</si>
  <si>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</si>
  <si>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</si>
  <si>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</si>
  <si>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</si>
  <si>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</si>
  <si>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</si>
  <si>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</si>
  <si>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</si>
  <si>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</si>
  <si>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</si>
  <si>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</si>
  <si>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</si>
  <si>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</si>
  <si>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</si>
  <si>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</si>
  <si>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</si>
  <si>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</si>
  <si>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</si>
  <si>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</si>
  <si>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</si>
  <si>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</si>
  <si>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</si>
  <si>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</si>
  <si>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</si>
  <si>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</si>
  <si>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</si>
  <si>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</si>
  <si>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</si>
  <si>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</si>
  <si>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</si>
  <si>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</si>
  <si>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</si>
  <si>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</si>
  <si>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</si>
  <si>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</si>
  <si>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</si>
  <si>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</si>
  <si>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</si>
  <si>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</si>
  <si>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</si>
  <si>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</si>
  <si>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</si>
  <si>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</si>
  <si>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</si>
  <si>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</si>
  <si>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</si>
  <si>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</si>
  <si>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</si>
  <si>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</si>
  <si>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</si>
  <si>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</si>
  <si>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</si>
  <si>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</si>
  <si>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</si>
  <si>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</si>
  <si>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</si>
  <si>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</si>
  <si>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</si>
  <si>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</si>
  <si>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</si>
  <si>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</si>
  <si>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</si>
  <si>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</si>
  <si>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</si>
  <si>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</si>
  <si>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</si>
  <si>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</si>
  <si>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</si>
  <si>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</si>
  <si>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</si>
  <si>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</si>
  <si>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</si>
  <si>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</si>
  <si>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</si>
  <si>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</si>
  <si>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</si>
  <si>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</si>
  <si>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</si>
  <si>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</si>
  <si>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</si>
  <si>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</si>
  <si>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</si>
  <si>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</si>
  <si>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</si>
  <si>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</si>
  <si>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</si>
  <si>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</si>
  <si>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</si>
  <si>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</si>
  <si>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</si>
  <si>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</si>
  <si>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</si>
  <si>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</si>
  <si>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</si>
  <si>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</si>
  <si>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</si>
  <si>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</si>
  <si>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</si>
  <si>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</si>
  <si>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</si>
  <si>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</si>
  <si>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</si>
  <si>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</si>
  <si>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</si>
  <si>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</si>
  <si>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</si>
  <si>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</si>
  <si>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</si>
  <si>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</si>
  <si>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</si>
  <si>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</si>
  <si>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</si>
  <si>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</si>
  <si>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</si>
  <si>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</si>
  <si>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</si>
  <si>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</si>
  <si>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</si>
  <si>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</si>
  <si>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</si>
  <si>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</si>
  <si>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</si>
  <si>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</si>
  <si>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</si>
  <si>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</si>
  <si>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</si>
  <si>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</si>
  <si>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</si>
  <si>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</si>
  <si>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</si>
  <si>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</si>
  <si>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</si>
  <si>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</si>
  <si>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</si>
  <si>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</si>
  <si>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</si>
  <si>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</si>
  <si>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</si>
  <si>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</si>
  <si>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</si>
  <si>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</si>
  <si>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</si>
  <si>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</si>
  <si>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</si>
  <si>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</si>
  <si>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</si>
  <si>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</si>
  <si>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</si>
  <si>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</si>
  <si>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</si>
  <si>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</si>
  <si>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</si>
  <si>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</si>
  <si>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</si>
  <si>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</si>
  <si>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</si>
  <si>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</si>
  <si>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</si>
  <si>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</si>
  <si>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</si>
  <si>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</si>
  <si>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</si>
  <si>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</si>
  <si>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</si>
  <si>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</si>
  <si>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</si>
  <si>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</si>
  <si>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</si>
  <si>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</si>
  <si>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</si>
  <si>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</si>
  <si>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</si>
  <si>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</si>
  <si>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</si>
  <si>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</si>
  <si>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</si>
  <si>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</si>
  <si>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</si>
  <si>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</si>
  <si>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</si>
  <si>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</si>
  <si>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</si>
  <si>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</si>
  <si>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</si>
  <si>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</si>
  <si>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</si>
  <si>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</si>
  <si>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</si>
  <si>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</si>
  <si>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</si>
  <si>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</si>
  <si>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</si>
  <si>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</si>
  <si>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</si>
  <si>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</si>
  <si>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</si>
  <si>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</si>
  <si>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</si>
  <si>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</si>
  <si>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</si>
  <si>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</si>
  <si>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</si>
  <si>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</si>
  <si>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</si>
  <si>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</si>
  <si>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</si>
  <si>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</si>
  <si>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</si>
  <si>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</si>
  <si>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</si>
  <si>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</si>
  <si>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</si>
  <si>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</si>
  <si>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</si>
  <si>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</si>
  <si>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</si>
  <si>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</si>
  <si>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</si>
  <si>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</si>
  <si>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</si>
  <si>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</si>
  <si>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</si>
  <si>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</si>
  <si>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</si>
  <si>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</si>
  <si>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</si>
  <si>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</si>
  <si>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</si>
  <si>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</si>
  <si>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</si>
  <si>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</si>
  <si>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</si>
  <si>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</si>
  <si>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</si>
  <si>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</si>
  <si>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</si>
  <si>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</si>
  <si>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</si>
  <si>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</si>
  <si>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</si>
  <si>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</si>
  <si>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</si>
  <si>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</si>
  <si>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</si>
  <si>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</si>
  <si>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</si>
  <si>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</si>
  <si>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</si>
  <si>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</si>
  <si>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</si>
  <si>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</si>
  <si>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</si>
  <si>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</si>
  <si>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</si>
  <si>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</si>
  <si>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</si>
  <si>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</si>
  <si>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</si>
  <si>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</si>
  <si>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</si>
  <si>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</si>
  <si>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</si>
  <si>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</si>
  <si>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</si>
  <si>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</si>
  <si>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</si>
  <si>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</si>
  <si>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</si>
  <si>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</si>
  <si>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</si>
  <si>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</si>
  <si>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</si>
  <si>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</si>
  <si>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</si>
  <si>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</si>
  <si>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</si>
  <si>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</si>
  <si>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</si>
  <si>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</si>
  <si>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</si>
  <si>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</si>
  <si>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</si>
  <si>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</si>
  <si>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</si>
  <si>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</si>
  <si>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</si>
  <si>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</si>
  <si>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</si>
  <si>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</si>
  <si>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</si>
  <si>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</si>
  <si>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</si>
  <si>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</si>
  <si>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</si>
  <si>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</si>
  <si>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</si>
  <si>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</si>
  <si>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</si>
  <si>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</si>
  <si>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</si>
  <si>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</si>
  <si>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</si>
  <si>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</si>
  <si>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</si>
  <si>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</si>
  <si>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</si>
  <si>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</si>
  <si>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</si>
  <si>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</si>
  <si>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</si>
  <si>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</si>
  <si>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</si>
  <si>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</si>
  <si>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</si>
  <si>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</si>
  <si>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</si>
  <si>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</si>
  <si>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</si>
  <si>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</si>
  <si>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</si>
  <si>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</si>
  <si>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</si>
  <si>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</si>
  <si>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</si>
  <si>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</si>
  <si>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</si>
  <si>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</si>
  <si>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</si>
  <si>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</si>
  <si>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</si>
  <si>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</si>
  <si>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</si>
  <si>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</si>
  <si>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</si>
  <si>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</si>
  <si>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</si>
  <si>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</si>
  <si>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</si>
  <si>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</si>
  <si>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</si>
  <si>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</si>
  <si>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</si>
  <si>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</si>
  <si>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</si>
  <si>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</si>
  <si>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</si>
  <si>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</si>
  <si>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</si>
  <si>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</si>
  <si>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</si>
  <si>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</si>
  <si>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</si>
  <si>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</si>
  <si>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</si>
  <si>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</si>
  <si>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</si>
  <si>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</si>
  <si>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</si>
  <si>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</si>
  <si>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</si>
  <si>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</si>
  <si>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</si>
  <si>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</si>
  <si>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</si>
  <si>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</si>
  <si>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</si>
  <si>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</si>
  <si>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</si>
  <si>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</si>
  <si>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</si>
  <si>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</si>
  <si>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</si>
  <si>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</si>
  <si>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</si>
  <si>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</si>
  <si>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</si>
  <si>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</si>
  <si>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</si>
  <si>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</si>
  <si>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</si>
  <si>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</si>
  <si>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</si>
  <si>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</si>
  <si>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</si>
  <si>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</si>
  <si>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</si>
  <si>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</si>
  <si>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</si>
  <si>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</si>
  <si>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</si>
  <si>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</si>
  <si>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</si>
  <si>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</si>
  <si>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</si>
  <si>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</si>
  <si>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</si>
  <si>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</si>
  <si>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</si>
  <si>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</si>
  <si>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</si>
  <si>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</si>
  <si>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</si>
  <si>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</si>
  <si>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</si>
  <si>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</si>
  <si>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</si>
  <si>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</si>
  <si>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</si>
  <si>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</si>
  <si>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</si>
  <si>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</si>
  <si>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</si>
  <si>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</si>
  <si>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</si>
  <si>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</si>
  <si>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</si>
  <si>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</si>
  <si>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</si>
  <si>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</si>
  <si>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</si>
  <si>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</si>
  <si>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</si>
  <si>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</si>
  <si>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</si>
  <si>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</si>
  <si>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</si>
  <si>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</si>
  <si>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</si>
  <si>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</si>
  <si>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</si>
  <si>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</si>
  <si>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</si>
  <si>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</si>
  <si>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</si>
  <si>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</si>
  <si>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</si>
  <si>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</si>
  <si>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</si>
  <si>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</si>
  <si>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</si>
  <si>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</si>
  <si>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</si>
  <si>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</si>
  <si>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</si>
  <si>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</si>
  <si>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</si>
  <si>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</si>
  <si>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</si>
  <si>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</si>
  <si>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</si>
  <si>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</si>
  <si>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</si>
  <si>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</si>
  <si>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</si>
  <si>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</si>
  <si>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</si>
  <si>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</si>
  <si>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</si>
  <si>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</si>
  <si>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</si>
  <si>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</si>
  <si>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</si>
  <si>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</si>
  <si>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</si>
  <si>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</si>
  <si>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</si>
  <si>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</si>
  <si>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</si>
  <si>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</si>
  <si>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</si>
  <si>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</si>
  <si>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</si>
  <si>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</si>
  <si>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</si>
  <si>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</si>
  <si>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</si>
  <si>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</si>
  <si>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</si>
  <si>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</si>
  <si>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</si>
  <si>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</si>
  <si>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</si>
  <si>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</si>
  <si>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</si>
  <si>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</si>
  <si>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</si>
  <si>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</si>
  <si>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</si>
  <si>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</si>
  <si>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</si>
  <si>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</si>
  <si>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</si>
  <si>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</si>
  <si>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</si>
  <si>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</si>
  <si>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</si>
  <si>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</si>
  <si>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</si>
  <si>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</si>
  <si>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</si>
  <si>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</si>
  <si>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</si>
  <si>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</si>
  <si>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</si>
  <si>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</si>
  <si>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</si>
  <si>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</si>
  <si>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</si>
  <si>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</si>
  <si>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</si>
  <si>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</si>
  <si>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</si>
  <si>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</si>
  <si>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</si>
  <si>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</si>
  <si>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</si>
  <si>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</si>
  <si>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</si>
  <si>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</si>
  <si>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</si>
  <si>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</si>
  <si>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</si>
  <si>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</si>
  <si>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</si>
  <si>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</si>
  <si>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</si>
  <si>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</si>
  <si>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</si>
  <si>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</si>
  <si>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</si>
  <si>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</si>
  <si>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</si>
  <si>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</si>
  <si>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</si>
  <si>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</si>
  <si>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</si>
  <si>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</si>
  <si>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</si>
  <si>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</si>
  <si>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</si>
  <si>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</si>
  <si>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</si>
  <si>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</si>
  <si>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</si>
  <si>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</si>
  <si>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</si>
  <si>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</si>
  <si>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</si>
  <si>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</si>
  <si>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</si>
  <si>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</si>
  <si>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</si>
  <si>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</si>
  <si>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</si>
  <si>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</si>
  <si>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</si>
  <si>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</si>
  <si>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</si>
  <si>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</si>
  <si>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</si>
  <si>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</si>
  <si>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</si>
  <si>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</si>
  <si>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</si>
  <si>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</si>
  <si>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</si>
  <si>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</si>
  <si>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</si>
  <si>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</si>
  <si>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</si>
  <si>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</si>
  <si>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</si>
  <si>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</si>
  <si>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</si>
  <si>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</si>
  <si>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</si>
  <si>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</si>
  <si>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</si>
  <si>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</si>
  <si>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</si>
  <si>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</si>
  <si>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</si>
  <si>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</si>
  <si>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</si>
  <si>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</si>
  <si>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</si>
  <si>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</si>
  <si>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</si>
  <si>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</si>
  <si>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</si>
  <si>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</si>
  <si>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</si>
  <si>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</si>
  <si>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</si>
  <si>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</si>
  <si>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</si>
  <si>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</si>
  <si>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</si>
  <si>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</si>
  <si>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</si>
  <si>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</si>
  <si>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</si>
  <si>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</si>
  <si>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</si>
  <si>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</si>
  <si>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</si>
  <si>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</si>
  <si>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</si>
  <si>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</si>
  <si>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</si>
  <si>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</si>
  <si>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</si>
  <si>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</si>
  <si>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</si>
  <si>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</si>
  <si>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</si>
  <si>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</si>
  <si>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</si>
  <si>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</si>
  <si>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</si>
  <si>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</si>
  <si>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</si>
  <si>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</si>
  <si>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</si>
  <si>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</si>
  <si>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</si>
  <si>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</si>
  <si>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</si>
  <si>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</si>
  <si>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</si>
  <si>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</si>
  <si>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</si>
  <si>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</si>
  <si>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</si>
  <si>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</si>
  <si>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</si>
  <si>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</si>
  <si>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</si>
  <si>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</si>
  <si>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</si>
  <si>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</si>
  <si>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</si>
  <si>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</si>
  <si>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</si>
  <si>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</si>
  <si>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</si>
  <si>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</si>
  <si>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</si>
  <si>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</si>
  <si>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</si>
  <si>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</si>
  <si>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</si>
  <si>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</si>
  <si>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</si>
  <si>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</si>
  <si>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</si>
  <si>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</si>
  <si>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</si>
  <si>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</si>
  <si>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</si>
  <si>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</si>
  <si>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</si>
  <si>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</si>
  <si>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</si>
  <si>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</si>
  <si>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</si>
  <si>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</si>
  <si>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</si>
  <si>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</si>
  <si>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</si>
  <si>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</si>
  <si>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</si>
  <si>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</si>
  <si>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</si>
  <si>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</si>
  <si>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</si>
  <si>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</si>
  <si>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</si>
  <si>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</si>
  <si>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</si>
  <si>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</si>
  <si>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</si>
  <si>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</si>
  <si>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</si>
  <si>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</si>
  <si>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</si>
  <si>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</si>
  <si>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</si>
  <si>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</si>
  <si>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</si>
  <si>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</si>
  <si>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</si>
  <si>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</si>
  <si>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</si>
  <si>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</si>
  <si>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</si>
  <si>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</si>
  <si>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</si>
  <si>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</si>
  <si>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</si>
  <si>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</si>
  <si>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</si>
  <si>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</si>
  <si>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</si>
  <si>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</si>
  <si>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</si>
  <si>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</si>
  <si>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</si>
  <si>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</si>
  <si>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</si>
  <si>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</si>
  <si>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</si>
  <si>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</si>
  <si>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</si>
  <si>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</si>
  <si>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</si>
  <si>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</si>
  <si>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</si>
  <si>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</si>
  <si>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</si>
  <si>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</si>
  <si>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</si>
  <si>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</si>
  <si>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</si>
  <si>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</si>
  <si>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</si>
  <si>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</si>
  <si>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</si>
  <si>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</si>
  <si>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</si>
  <si>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</si>
  <si>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</si>
  <si>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</si>
  <si>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</si>
  <si>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</si>
  <si>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</si>
  <si>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</si>
  <si>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</si>
  <si>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</si>
  <si>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</si>
  <si>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</si>
  <si>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</si>
  <si>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</si>
  <si>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</si>
  <si>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</si>
  <si>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</si>
  <si>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</si>
  <si>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</si>
  <si>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</si>
  <si>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</si>
  <si>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</si>
  <si>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</si>
  <si>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</si>
  <si>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</si>
  <si>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</si>
  <si>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</si>
  <si>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</si>
  <si>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</si>
  <si>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</si>
  <si>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</si>
  <si>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</si>
  <si>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</si>
  <si>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</si>
  <si>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</si>
  <si>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</si>
  <si>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</si>
  <si>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</si>
  <si>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</si>
  <si>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</si>
  <si>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</si>
  <si>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</si>
  <si>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</si>
  <si>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</si>
  <si>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</si>
  <si>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</si>
  <si>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</si>
  <si>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</si>
  <si>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</si>
  <si>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</si>
  <si>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</si>
  <si>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</si>
  <si>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</si>
  <si>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</si>
  <si>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</si>
  <si>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</si>
  <si>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</si>
  <si>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</si>
  <si>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</si>
  <si>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</si>
  <si>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</si>
  <si>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</si>
  <si>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</si>
  <si>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</si>
  <si>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</si>
  <si>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</si>
  <si>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</si>
  <si>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</si>
  <si>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</si>
  <si>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</si>
  <si>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</si>
  <si>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</si>
  <si>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</si>
  <si>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</si>
  <si>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</si>
  <si>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</si>
  <si>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</si>
  <si>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</si>
  <si>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</si>
  <si>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</si>
  <si>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</si>
  <si>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</si>
  <si>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</si>
  <si>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</si>
  <si>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</si>
  <si>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</si>
  <si>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</si>
  <si>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</si>
  <si>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</si>
  <si>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</si>
  <si>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</si>
  <si>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</si>
  <si>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</si>
  <si>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</si>
  <si>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</si>
  <si>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</si>
  <si>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</si>
  <si>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</si>
  <si>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</si>
  <si>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</si>
  <si>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</si>
  <si>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</si>
  <si>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</si>
  <si>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</si>
  <si>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</si>
  <si>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</si>
  <si>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</si>
  <si>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</si>
  <si>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</si>
  <si>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</si>
  <si>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</si>
  <si>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</si>
  <si>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</si>
  <si>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</si>
  <si>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</si>
  <si>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</si>
  <si>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</si>
  <si>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</si>
  <si>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</si>
  <si>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</si>
  <si>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</si>
  <si>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</si>
  <si>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</si>
  <si>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</si>
  <si>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</si>
  <si>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</si>
  <si>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</si>
  <si>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</si>
  <si>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</si>
  <si>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</si>
  <si>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</si>
  <si>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</si>
  <si>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</si>
  <si>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</si>
  <si>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</si>
  <si>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</si>
  <si>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</si>
  <si>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</si>
  <si>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</si>
  <si>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</si>
  <si>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</si>
  <si>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</si>
  <si>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</si>
  <si>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</si>
  <si>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</si>
  <si>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</si>
  <si>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</si>
  <si>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</si>
  <si>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</si>
  <si>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</si>
  <si>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</si>
  <si>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</si>
  <si>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</si>
  <si>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</si>
  <si>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</si>
  <si>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</si>
  <si>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</si>
  <si>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</si>
  <si>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</si>
  <si>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</si>
  <si>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</si>
  <si>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</si>
  <si>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</si>
  <si>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</si>
  <si>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</si>
  <si>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</si>
  <si>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</si>
  <si>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</si>
  <si>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</si>
  <si>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</si>
  <si>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</si>
  <si>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</si>
  <si>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</si>
  <si>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</si>
  <si>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</si>
  <si>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</si>
  <si>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</si>
  <si>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</si>
  <si>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</si>
  <si>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</si>
  <si>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</si>
  <si>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</si>
  <si>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</si>
  <si>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</si>
  <si>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</si>
  <si>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</si>
  <si>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</si>
  <si>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</si>
  <si>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</si>
  <si>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</si>
  <si>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</si>
  <si>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</si>
  <si>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</si>
  <si>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</si>
  <si>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</si>
  <si>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</si>
  <si>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</si>
  <si>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</si>
  <si>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</si>
  <si>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</si>
  <si>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</si>
  <si>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</si>
  <si>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</si>
  <si>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</si>
  <si>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</si>
  <si>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</si>
  <si>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</si>
  <si>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</si>
  <si>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</si>
  <si>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</si>
  <si>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</si>
  <si>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</si>
  <si>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</si>
  <si>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</si>
  <si>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</si>
  <si>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</si>
  <si>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</si>
  <si>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</si>
  <si>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</si>
  <si>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</si>
  <si>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</si>
  <si>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</si>
  <si>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</si>
  <si>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</si>
  <si>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</si>
  <si>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</si>
  <si>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</si>
  <si>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</si>
  <si>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</si>
  <si>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</si>
  <si>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</si>
  <si>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</si>
  <si>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</si>
  <si>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</si>
  <si>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</si>
  <si>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</si>
  <si>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</si>
  <si>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</si>
  <si>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</si>
  <si>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</si>
  <si>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</si>
  <si>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</si>
  <si>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</si>
  <si>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</si>
  <si>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</si>
  <si>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</si>
  <si>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</si>
  <si>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</si>
  <si>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</si>
  <si>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</si>
  <si>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</si>
  <si>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</si>
  <si>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</si>
  <si>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</si>
  <si>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</si>
  <si>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</si>
  <si>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</si>
  <si>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</si>
  <si>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</si>
  <si>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</si>
  <si>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</si>
  <si>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</si>
  <si>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</si>
  <si>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</si>
  <si>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</si>
  <si>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</si>
  <si>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</si>
  <si>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</si>
  <si>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</si>
  <si>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</si>
  <si>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</si>
  <si>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</si>
  <si>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</si>
  <si>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</si>
  <si>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</si>
  <si>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</si>
  <si>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</si>
  <si>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</si>
  <si>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</si>
  <si>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</si>
  <si>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</si>
  <si>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</si>
  <si>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</si>
  <si>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</si>
  <si>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</si>
  <si>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</si>
  <si>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</si>
  <si>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</si>
  <si>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</si>
  <si>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</si>
  <si>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</si>
  <si>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</si>
  <si>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</si>
  <si>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</si>
  <si>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</si>
  <si>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</si>
  <si>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</si>
  <si>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</si>
  <si>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</si>
  <si>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</si>
  <si>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</si>
  <si>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</si>
  <si>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</si>
  <si>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</si>
  <si>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</si>
  <si>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</si>
  <si>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</si>
  <si>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</si>
  <si>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</si>
  <si>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</si>
  <si>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</si>
  <si>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</si>
  <si>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</si>
  <si>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</si>
  <si>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</si>
  <si>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</si>
  <si>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</si>
  <si>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</si>
  <si>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</si>
  <si>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</si>
  <si>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</si>
  <si>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</si>
  <si>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</si>
  <si>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</si>
  <si>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</si>
  <si>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</si>
  <si>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</si>
  <si>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</si>
  <si>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</si>
  <si>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</si>
  <si>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</si>
  <si>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</si>
  <si>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</si>
  <si>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</si>
  <si>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</si>
  <si>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</si>
  <si>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</si>
  <si>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</si>
  <si>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</si>
  <si>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</si>
  <si>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</si>
  <si>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</si>
  <si>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</si>
  <si>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</si>
  <si>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</si>
  <si>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</si>
  <si>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</si>
  <si>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</si>
  <si>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</si>
  <si>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</si>
  <si>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</si>
  <si>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</si>
  <si>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</si>
  <si>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</si>
  <si>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</si>
  <si>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</si>
  <si>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</si>
  <si>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</si>
  <si>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</si>
  <si>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</si>
  <si>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</si>
  <si>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</si>
  <si>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</si>
  <si>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</si>
  <si>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</si>
  <si>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</si>
  <si>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</si>
  <si>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</si>
  <si>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</si>
  <si>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</si>
  <si>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</si>
  <si>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</si>
  <si>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</si>
  <si>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</si>
  <si>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</si>
  <si>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</si>
  <si>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</si>
  <si>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</si>
  <si>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</si>
  <si>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</si>
  <si>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</si>
  <si>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</si>
  <si>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</si>
  <si>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</si>
  <si>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</si>
  <si>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</si>
  <si>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</si>
  <si>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</si>
  <si>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</si>
  <si>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</si>
  <si>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</si>
  <si>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</si>
  <si>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</si>
  <si>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</si>
  <si>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</si>
  <si>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</si>
  <si>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</si>
  <si>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</si>
  <si>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</si>
  <si>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</si>
  <si>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</si>
  <si>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</si>
  <si>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</si>
  <si>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</si>
  <si>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</si>
  <si>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</si>
  <si>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</si>
  <si>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</si>
  <si>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</si>
  <si>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</si>
  <si>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</si>
  <si>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</si>
  <si>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</si>
  <si>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</si>
  <si>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</si>
  <si>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</si>
  <si>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</si>
  <si>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</si>
  <si>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</si>
  <si>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</si>
  <si>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</si>
  <si>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</si>
  <si>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</si>
  <si>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</si>
  <si>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</si>
  <si>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</si>
  <si>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</si>
  <si>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</si>
  <si>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</si>
  <si>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</si>
  <si>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</si>
  <si>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</si>
  <si>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</si>
  <si>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</si>
  <si>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</si>
  <si>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</si>
  <si>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</si>
  <si>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</si>
  <si>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</si>
  <si>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</si>
  <si>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</si>
  <si>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</si>
  <si>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</si>
  <si>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</si>
  <si>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</si>
  <si>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</si>
  <si>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</si>
  <si>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</si>
  <si>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</si>
  <si>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</si>
  <si>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</si>
  <si>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</si>
  <si>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</si>
  <si>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</si>
  <si>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</si>
  <si>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</si>
  <si>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</si>
  <si>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</si>
  <si>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</si>
  <si>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</si>
  <si>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</si>
  <si>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</si>
  <si>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</si>
  <si>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</si>
  <si>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</si>
  <si>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</si>
  <si>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</si>
  <si>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</si>
  <si>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</si>
  <si>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</si>
  <si>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</si>
  <si>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</si>
  <si>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</si>
  <si>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</si>
  <si>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</si>
  <si>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</si>
  <si>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</si>
  <si>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</si>
  <si>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</si>
  <si>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</si>
  <si>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</si>
  <si>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</si>
  <si>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</si>
  <si>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</si>
  <si>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</si>
  <si>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</si>
  <si>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</si>
  <si>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</si>
  <si>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</si>
  <si>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</si>
  <si>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</si>
  <si>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</si>
  <si>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</si>
  <si>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</si>
  <si>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</si>
  <si>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</si>
  <si>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</si>
  <si>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</si>
  <si>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</si>
  <si>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</si>
  <si>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</si>
  <si>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</si>
  <si>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</si>
  <si>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</si>
  <si>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</si>
  <si>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</si>
  <si>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</si>
  <si>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</si>
  <si>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</si>
  <si>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</si>
  <si>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</si>
  <si>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</si>
  <si>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</si>
  <si>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</si>
  <si>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</si>
  <si>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</si>
  <si>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</si>
  <si>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</si>
  <si>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</si>
  <si>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</si>
  <si>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</si>
  <si>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</si>
  <si>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</si>
  <si>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</si>
  <si>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</si>
  <si>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</si>
  <si>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</si>
  <si>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</si>
  <si>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</si>
  <si>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</si>
  <si>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</si>
  <si>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</si>
  <si>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</si>
  <si>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</si>
  <si>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</si>
  <si>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</si>
  <si>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</si>
  <si>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</si>
  <si>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</si>
  <si>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</si>
  <si>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</si>
  <si>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</si>
  <si>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</si>
  <si>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</si>
  <si>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</si>
  <si>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</si>
  <si>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</si>
  <si>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</si>
  <si>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</si>
  <si>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</si>
  <si>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</si>
  <si>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</si>
  <si>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</si>
  <si>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</si>
  <si>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</si>
  <si>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</si>
  <si>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</si>
  <si>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</si>
  <si>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</si>
  <si>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</si>
  <si>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</si>
  <si>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</si>
  <si>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</si>
  <si>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</si>
  <si>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</si>
  <si>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</si>
  <si>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</si>
  <si>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</si>
  <si>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</si>
  <si>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</si>
  <si>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</si>
  <si>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</si>
  <si>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</si>
  <si>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</si>
  <si>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</si>
  <si>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</si>
  <si>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</si>
  <si>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</si>
  <si>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</si>
  <si>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</si>
  <si>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</si>
  <si>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</si>
  <si>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</si>
  <si>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</si>
  <si>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</si>
  <si>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</si>
  <si>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</si>
  <si>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</si>
  <si>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</si>
  <si>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</si>
  <si>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</si>
  <si>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</si>
  <si>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</si>
  <si>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</si>
  <si>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</si>
  <si>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</si>
  <si>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</si>
  <si>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</si>
  <si>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</si>
  <si>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</si>
  <si>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</si>
  <si>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</si>
  <si>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</si>
  <si>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</si>
  <si>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</si>
  <si>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</si>
  <si>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</si>
  <si>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</si>
  <si>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</si>
  <si>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</si>
  <si>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</si>
  <si>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</si>
  <si>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</si>
  <si>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</si>
  <si>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</si>
  <si>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</si>
  <si>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</si>
  <si>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</si>
  <si>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</si>
  <si>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</si>
  <si>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</si>
  <si>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</si>
  <si>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</si>
  <si>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</si>
  <si>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</si>
  <si>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</si>
  <si>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</si>
  <si>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</si>
  <si>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</si>
  <si>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</si>
  <si>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</si>
  <si>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</si>
  <si>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</si>
  <si>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</si>
  <si>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</si>
  <si>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</si>
  <si>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</si>
  <si>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</si>
  <si>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</si>
  <si>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</si>
  <si>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</si>
  <si>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</si>
  <si>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</si>
  <si>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</si>
  <si>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</si>
  <si>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</si>
  <si>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</si>
  <si>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</si>
  <si>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</si>
  <si>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</si>
  <si>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</si>
  <si>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</si>
  <si>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</si>
  <si>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</si>
  <si>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</si>
  <si>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</si>
  <si>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</si>
  <si>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</si>
  <si>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</si>
  <si>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</si>
  <si>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</si>
  <si>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</si>
  <si>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</si>
  <si>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</si>
  <si>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</si>
  <si>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</si>
  <si>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</si>
  <si>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</si>
  <si>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</si>
  <si>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</si>
  <si>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</si>
  <si>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</si>
  <si>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</si>
  <si>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</si>
  <si>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</si>
  <si>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</si>
  <si>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</si>
  <si>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</si>
  <si>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</si>
  <si>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</si>
  <si>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</si>
  <si>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</si>
  <si>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</si>
  <si>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</si>
  <si>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</si>
  <si>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</si>
  <si>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</si>
  <si>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</si>
  <si>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</si>
  <si>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</si>
  <si>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</si>
  <si>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</si>
  <si>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</si>
  <si>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</si>
  <si>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</si>
  <si>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</si>
  <si>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</si>
  <si>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</si>
  <si>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</si>
  <si>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</si>
  <si>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</si>
  <si>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</si>
  <si>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</si>
  <si>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</si>
  <si>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</si>
  <si>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</si>
  <si>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</si>
  <si>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</si>
  <si>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</si>
  <si>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</si>
  <si>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</si>
  <si>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</si>
  <si>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</si>
  <si>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</si>
  <si>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</si>
  <si>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</si>
  <si>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</si>
  <si>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</si>
  <si>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</si>
  <si>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</si>
  <si>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</si>
  <si>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</si>
  <si>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</si>
  <si>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</si>
  <si>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</si>
  <si>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</si>
  <si>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</si>
  <si>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</si>
  <si>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</si>
  <si>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</si>
  <si>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</si>
  <si>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</si>
  <si>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</si>
  <si>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</si>
  <si>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</si>
  <si>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</si>
  <si>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</si>
  <si>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</si>
  <si>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</si>
  <si>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</si>
  <si>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</si>
  <si>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</si>
  <si>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</si>
  <si>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</si>
  <si>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</si>
  <si>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</si>
  <si>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</si>
  <si>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</si>
  <si>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</si>
  <si>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</si>
  <si>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</si>
  <si>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</si>
  <si>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</si>
  <si>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</si>
  <si>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</si>
  <si>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</si>
  <si>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</si>
  <si>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</si>
  <si>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</si>
  <si>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</si>
  <si>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</si>
  <si>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</si>
  <si>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</si>
  <si>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</si>
  <si>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</si>
  <si>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</si>
  <si>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</si>
  <si>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</si>
  <si>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</si>
  <si>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</si>
  <si>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</si>
  <si>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</si>
  <si>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</si>
  <si>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</si>
  <si>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</si>
  <si>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</si>
  <si>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</si>
  <si>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</si>
  <si>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</si>
  <si>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</si>
  <si>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</si>
  <si>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</si>
  <si>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</si>
  <si>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</si>
  <si>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</si>
  <si>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</si>
  <si>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</si>
  <si>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</si>
  <si>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</si>
  <si>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</si>
  <si>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</si>
  <si>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</si>
  <si>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</si>
  <si>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</si>
  <si>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</si>
  <si>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</si>
  <si>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</si>
  <si>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</si>
  <si>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</si>
  <si>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</si>
  <si>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</si>
  <si>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</si>
  <si>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</si>
  <si>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</si>
  <si>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</si>
  <si>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</si>
  <si>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</si>
  <si>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</si>
  <si>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</si>
  <si>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</si>
  <si>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</si>
  <si>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</si>
  <si>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</si>
  <si>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</si>
  <si>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</si>
  <si>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</si>
  <si>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</si>
  <si>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</si>
  <si>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</si>
  <si>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</si>
  <si>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</si>
  <si>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</si>
  <si>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</si>
  <si>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</si>
  <si>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</si>
  <si>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</si>
  <si>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</si>
  <si>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</si>
  <si>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</si>
  <si>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</si>
  <si>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</si>
  <si>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</si>
  <si>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</si>
  <si>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</si>
  <si>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</si>
  <si>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</si>
  <si>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</si>
  <si>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</si>
  <si>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</si>
  <si>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</si>
  <si>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</si>
  <si>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</si>
  <si>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</si>
  <si>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</si>
  <si>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</si>
  <si>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</si>
  <si>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</si>
  <si>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</si>
  <si>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</si>
  <si>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</si>
  <si>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</si>
  <si>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</si>
  <si>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</si>
  <si>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</si>
  <si>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</si>
  <si>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</si>
  <si>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</si>
  <si>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</si>
  <si>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</si>
  <si>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</si>
  <si>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</si>
  <si>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</si>
  <si>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</si>
  <si>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</si>
  <si>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</si>
  <si>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</si>
  <si>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</si>
  <si>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</si>
  <si>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</si>
  <si>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</si>
  <si>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</si>
  <si>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</si>
  <si>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</si>
  <si>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</si>
  <si>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</si>
  <si>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</si>
  <si>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</si>
  <si>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</si>
  <si>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</si>
  <si>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</si>
  <si>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</si>
  <si>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</si>
  <si>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</si>
  <si>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</si>
  <si>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</si>
  <si>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</si>
  <si>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</si>
  <si>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</si>
  <si>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</si>
  <si>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</si>
  <si>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</si>
  <si>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</si>
  <si>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</si>
  <si>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</si>
  <si>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</si>
  <si>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</si>
  <si>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</si>
  <si>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</si>
  <si>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</si>
  <si>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</si>
  <si>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</si>
  <si>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</si>
  <si>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</si>
  <si>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</si>
  <si>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</si>
  <si>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</si>
  <si>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</si>
  <si>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</si>
  <si>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</si>
  <si>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</si>
  <si>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</si>
  <si>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</si>
  <si>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</si>
  <si>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</si>
  <si>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</si>
  <si>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</si>
  <si>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</si>
  <si>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</si>
  <si>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</si>
  <si>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</si>
  <si>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</si>
  <si>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</si>
  <si>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</si>
  <si>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</si>
  <si>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</si>
  <si>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</si>
  <si>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</si>
  <si>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</si>
  <si>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</si>
  <si>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</si>
  <si>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</si>
  <si>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</si>
  <si>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</si>
  <si>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</si>
  <si>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</si>
  <si>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</si>
  <si>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</si>
  <si>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</si>
  <si>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</si>
  <si>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</si>
  <si>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</si>
  <si>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</si>
  <si>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</si>
  <si>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</si>
  <si>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</si>
  <si>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</si>
  <si>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</si>
  <si>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</si>
  <si>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</si>
  <si>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</si>
  <si>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</si>
  <si>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</si>
  <si>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</si>
  <si>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</si>
  <si>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</si>
  <si>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</si>
  <si>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</si>
  <si>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</si>
  <si>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</si>
  <si>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</si>
  <si>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</si>
  <si>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</si>
  <si>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</si>
  <si>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</si>
  <si>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</si>
  <si>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</si>
  <si>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</si>
  <si>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</si>
  <si>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</si>
  <si>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</si>
  <si>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</si>
  <si>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</si>
  <si>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</si>
  <si>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</si>
  <si>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</si>
  <si>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</si>
  <si>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</si>
  <si>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</si>
  <si>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</si>
  <si>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</si>
  <si>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</si>
  <si>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</si>
  <si>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</si>
  <si>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</si>
  <si>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</si>
  <si>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</si>
  <si>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</si>
  <si>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</si>
  <si>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</si>
  <si>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</si>
  <si>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</si>
  <si>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</si>
  <si>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</si>
  <si>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</si>
  <si>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</si>
  <si>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</si>
  <si>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</si>
  <si>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</si>
  <si>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</si>
  <si>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</si>
  <si>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</si>
  <si>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</si>
  <si>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</si>
  <si>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</si>
  <si>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</si>
  <si>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</si>
  <si>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</si>
  <si>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</si>
  <si>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</si>
  <si>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</si>
  <si>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</si>
  <si>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</si>
  <si>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</si>
  <si>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</si>
  <si>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</si>
  <si>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</si>
  <si>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</si>
  <si>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</si>
  <si>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</si>
  <si>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</si>
  <si>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</si>
  <si>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</si>
  <si>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</si>
  <si>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</si>
  <si>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</si>
  <si>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</si>
  <si>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</si>
  <si>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</si>
  <si>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</si>
  <si>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</si>
  <si>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</si>
  <si>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</si>
  <si>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</si>
  <si>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</si>
  <si>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</si>
  <si>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</si>
  <si>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</si>
  <si>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</si>
  <si>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</si>
  <si>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</si>
  <si>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</si>
  <si>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</si>
  <si>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</si>
  <si>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</si>
  <si>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</si>
  <si>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</si>
  <si>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</si>
  <si>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</si>
  <si>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</si>
  <si>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</si>
  <si>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</si>
  <si>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</si>
  <si>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</si>
  <si>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</si>
  <si>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</si>
  <si>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</si>
  <si>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</si>
  <si>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</si>
  <si>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</si>
  <si>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</si>
  <si>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</si>
  <si>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</si>
  <si>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</si>
  <si>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</si>
  <si>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</si>
  <si>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</si>
  <si>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</si>
  <si>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</si>
  <si>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</si>
  <si>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</si>
  <si>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</si>
  <si>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</si>
  <si>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</si>
  <si>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</si>
  <si>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</si>
  <si>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</si>
  <si>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</si>
  <si>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</si>
  <si>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</si>
  <si>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</si>
  <si>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</si>
  <si>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</si>
  <si>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</si>
  <si>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</si>
  <si>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</si>
  <si>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</si>
  <si>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</si>
  <si>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</si>
  <si>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</si>
  <si>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</si>
  <si>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</si>
  <si>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</si>
  <si>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</si>
  <si>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</si>
  <si>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</si>
  <si>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</si>
  <si>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</si>
  <si>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</si>
  <si>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</si>
  <si>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</si>
  <si>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</si>
  <si>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</si>
  <si>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</si>
  <si>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</si>
  <si>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</si>
  <si>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</si>
  <si>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</si>
  <si>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</si>
  <si>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</si>
  <si>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</si>
  <si>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</si>
  <si>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</si>
  <si>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</si>
  <si>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</si>
  <si>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</si>
  <si>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</si>
  <si>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</si>
  <si>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</si>
  <si>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</si>
  <si>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</si>
  <si>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</si>
  <si>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</si>
  <si>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</si>
  <si>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</si>
  <si>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</si>
  <si>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</si>
  <si>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</si>
  <si>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</si>
  <si>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</si>
  <si>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</si>
  <si>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</si>
  <si>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</si>
  <si>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</si>
  <si>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</si>
  <si>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</si>
  <si>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</si>
  <si>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</si>
  <si>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</si>
  <si>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</si>
  <si>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</si>
  <si>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</si>
  <si>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</si>
  <si>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</si>
  <si>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</si>
  <si>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</si>
  <si>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</si>
  <si>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</si>
  <si>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</si>
  <si>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</si>
  <si>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</si>
  <si>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</si>
  <si>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</si>
  <si>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</si>
  <si>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</si>
  <si>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</si>
  <si>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</si>
  <si>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</si>
  <si>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</si>
  <si>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</si>
  <si>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</si>
  <si>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</si>
  <si>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</si>
  <si>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</si>
  <si>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</si>
  <si>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</si>
  <si>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</si>
  <si>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</si>
  <si>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</si>
  <si>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</si>
  <si>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</si>
  <si>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</si>
  <si>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</si>
  <si>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</si>
  <si>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</si>
  <si>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</si>
  <si>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</si>
  <si>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</si>
  <si>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</si>
  <si>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</si>
  <si>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</si>
  <si>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</si>
  <si>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</si>
  <si>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</si>
  <si>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</si>
  <si>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</si>
  <si>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</si>
  <si>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</si>
  <si>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</si>
  <si>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</si>
  <si>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</si>
  <si>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</si>
  <si>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</si>
  <si>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</si>
  <si>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</si>
  <si>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</si>
  <si>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</si>
  <si>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</si>
  <si>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</si>
  <si>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</si>
  <si>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</si>
  <si>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</si>
  <si>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</si>
  <si>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</si>
  <si>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</si>
  <si>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</si>
  <si>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</si>
  <si>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</si>
  <si>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</si>
  <si>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</si>
  <si>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</si>
  <si>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</si>
  <si>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</si>
  <si>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</si>
  <si>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</si>
  <si>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</si>
  <si>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</si>
  <si>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</si>
  <si>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</si>
  <si>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</si>
  <si>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</si>
  <si>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</si>
  <si>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</si>
  <si>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</si>
  <si>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</si>
  <si>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</si>
  <si>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</si>
  <si>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</si>
  <si>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</si>
  <si>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</si>
  <si>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</si>
  <si>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</si>
  <si>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</si>
  <si>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</si>
  <si>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</si>
  <si>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</si>
  <si>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</si>
  <si>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</si>
  <si>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</si>
  <si>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</si>
  <si>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</si>
  <si>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</si>
  <si>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</si>
  <si>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</si>
  <si>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</si>
  <si>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</si>
  <si>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</si>
  <si>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</si>
  <si>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</si>
  <si>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</si>
  <si>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</si>
  <si>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</si>
  <si>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</si>
  <si>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</si>
  <si>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</si>
  <si>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</si>
  <si>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</si>
  <si>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</si>
  <si>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</si>
  <si>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</si>
  <si>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</si>
  <si>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</si>
  <si>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</si>
  <si>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</si>
  <si>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</si>
  <si>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</si>
  <si>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</si>
  <si>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</si>
  <si>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</si>
  <si>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</si>
  <si>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</si>
  <si>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</si>
  <si>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</si>
  <si>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</si>
  <si>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</si>
  <si>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</si>
  <si>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</si>
  <si>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</si>
  <si>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</si>
  <si>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</si>
  <si>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</si>
  <si>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</si>
  <si>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</si>
  <si>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</si>
  <si>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</si>
  <si>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</si>
  <si>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</si>
  <si>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</si>
  <si>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</si>
  <si>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</si>
  <si>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</si>
  <si>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</si>
  <si>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</si>
  <si>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</si>
  <si>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</si>
  <si>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</si>
  <si>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</si>
  <si>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</si>
  <si>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</si>
  <si>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</si>
  <si>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</si>
  <si>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</si>
  <si>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</si>
  <si>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</si>
  <si>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</si>
  <si>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</si>
  <si>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</si>
  <si>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</si>
  <si>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</si>
  <si>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</si>
  <si>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</si>
  <si>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</si>
  <si>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</si>
  <si>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</si>
  <si>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</si>
  <si>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</si>
  <si>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</si>
  <si>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</si>
  <si>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</si>
  <si>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</si>
  <si>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</si>
  <si>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</si>
  <si>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</si>
  <si>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</si>
  <si>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</si>
  <si>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</si>
  <si>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</si>
  <si>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</si>
  <si>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</si>
  <si>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</si>
  <si>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</si>
  <si>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</si>
  <si>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</si>
  <si>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</si>
  <si>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</si>
  <si>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</si>
  <si>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</si>
  <si>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</si>
  <si>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</si>
  <si>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</si>
  <si>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</si>
  <si>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</si>
  <si>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</si>
  <si>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</si>
  <si>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</si>
  <si>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</si>
  <si>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</si>
  <si>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</si>
  <si>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</si>
  <si>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</si>
  <si>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</si>
  <si>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</si>
  <si>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</si>
  <si>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</si>
  <si>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</si>
  <si>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</si>
  <si>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</si>
  <si>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</si>
  <si>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</si>
  <si>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</si>
  <si>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</si>
  <si>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</si>
  <si>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</si>
  <si>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</si>
  <si>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</si>
  <si>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</si>
  <si>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</si>
  <si>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</si>
  <si>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</si>
  <si>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</si>
  <si>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</si>
  <si>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</si>
  <si>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</si>
  <si>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</si>
  <si>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</si>
  <si>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</si>
  <si>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</si>
  <si>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</si>
  <si>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</si>
  <si>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</si>
  <si>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</si>
  <si>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</si>
  <si>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</si>
  <si>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</si>
  <si>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</si>
  <si>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</si>
  <si>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</si>
  <si>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</si>
  <si>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</si>
  <si>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</si>
  <si>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</si>
  <si>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</si>
  <si>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</si>
  <si>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</si>
  <si>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</si>
  <si>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</si>
  <si>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</si>
  <si>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</si>
  <si>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</si>
  <si>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</si>
  <si>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</si>
  <si>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</si>
  <si>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</si>
  <si>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</si>
  <si>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</si>
  <si>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</si>
  <si>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</si>
  <si>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</si>
  <si>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</si>
  <si>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</si>
  <si>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</si>
  <si>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</si>
  <si>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</si>
  <si>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</si>
  <si>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</si>
  <si>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</si>
  <si>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</si>
  <si>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</si>
  <si>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</si>
  <si>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</si>
  <si>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</si>
  <si>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</si>
  <si>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</si>
  <si>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</si>
  <si>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</si>
  <si>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</si>
  <si>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</si>
  <si>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</si>
  <si>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</si>
  <si>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</si>
  <si>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</si>
  <si>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</si>
  <si>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</si>
  <si>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</si>
  <si>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</si>
  <si>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</si>
  <si>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</si>
  <si>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</si>
  <si>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</si>
  <si>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</si>
  <si>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</si>
  <si>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</si>
  <si>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</si>
  <si>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</si>
  <si>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</si>
  <si>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</si>
  <si>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</si>
  <si>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</si>
  <si>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</si>
  <si>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</si>
  <si>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</si>
  <si>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</si>
  <si>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</si>
  <si>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</si>
  <si>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</si>
  <si>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</si>
  <si>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</si>
  <si>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</si>
  <si>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</si>
  <si>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</si>
  <si>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</si>
  <si>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</si>
  <si>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</si>
  <si>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</si>
  <si>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</si>
  <si>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</si>
  <si>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</si>
  <si>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</si>
  <si>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</si>
  <si>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</si>
  <si>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</si>
  <si>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</si>
  <si>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</si>
  <si>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</si>
  <si>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</si>
  <si>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</si>
  <si>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</si>
  <si>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</si>
  <si>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</si>
  <si>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</si>
  <si>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</si>
  <si>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</si>
  <si>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</si>
  <si>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</si>
  <si>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</si>
  <si>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</si>
  <si>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</si>
  <si>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</si>
  <si>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</si>
  <si>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</si>
  <si>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</si>
  <si>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</si>
  <si>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</si>
  <si>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</si>
  <si>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</si>
  <si>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</si>
  <si>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</si>
  <si>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</si>
  <si>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</si>
  <si>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</si>
  <si>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</si>
  <si>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</si>
  <si>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</si>
  <si>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</si>
  <si>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</si>
  <si>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</si>
  <si>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</si>
  <si>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</si>
  <si>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</si>
  <si>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</si>
  <si>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</si>
  <si>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</si>
  <si>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</si>
  <si>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</si>
  <si>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</si>
  <si>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</si>
  <si>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</si>
  <si>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</si>
  <si>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</si>
  <si>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</si>
  <si>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</si>
  <si>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</si>
  <si>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</si>
  <si>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</si>
  <si>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</si>
  <si>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</si>
  <si>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</si>
  <si>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</si>
  <si>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</si>
  <si>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</si>
  <si>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</si>
  <si>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</si>
  <si>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</si>
  <si>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</si>
  <si>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</si>
  <si>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</si>
  <si>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</si>
  <si>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</si>
  <si>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</si>
  <si>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</si>
  <si>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</si>
  <si>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</si>
  <si>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</si>
  <si>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</si>
  <si>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</si>
  <si>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</si>
  <si>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</si>
  <si>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</si>
  <si>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</si>
  <si>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</si>
  <si>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</si>
  <si>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</si>
  <si>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</si>
  <si>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</si>
  <si>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</si>
  <si>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</si>
  <si>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</si>
  <si>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</si>
  <si>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</si>
  <si>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</si>
  <si>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</si>
  <si>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</si>
  <si>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</si>
  <si>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</si>
  <si>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</si>
  <si>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</si>
  <si>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</si>
  <si>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</si>
  <si>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</si>
  <si>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</si>
  <si>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</si>
  <si>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</si>
  <si>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</si>
  <si>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</si>
  <si>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</si>
  <si>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</si>
  <si>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</si>
  <si>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</si>
  <si>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</si>
  <si>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</si>
  <si>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</si>
  <si>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</si>
  <si>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</si>
  <si>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</si>
  <si>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</si>
  <si>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</si>
  <si>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</si>
  <si>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</si>
  <si>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</si>
  <si>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</si>
  <si>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</si>
  <si>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</si>
  <si>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</si>
  <si>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</si>
  <si>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</si>
  <si>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</si>
  <si>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</si>
  <si>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</si>
  <si>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</si>
  <si>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</si>
  <si>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</si>
  <si>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</si>
  <si>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</si>
  <si>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</si>
  <si>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</si>
  <si>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</si>
  <si>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</si>
  <si>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</si>
  <si>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</si>
  <si>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</si>
  <si>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</si>
  <si>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</si>
  <si>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</si>
  <si>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</si>
  <si>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</si>
  <si>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</si>
  <si>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</si>
  <si>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</si>
  <si>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</si>
  <si>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</si>
  <si>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</si>
  <si>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</si>
  <si>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</si>
  <si>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</si>
  <si>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</si>
  <si>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</si>
  <si>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</si>
  <si>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</si>
  <si>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</si>
  <si>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</si>
  <si>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</si>
  <si>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</si>
  <si>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</si>
  <si>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</si>
  <si>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</si>
  <si>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</si>
  <si>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</si>
  <si>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</si>
  <si>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</si>
  <si>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</si>
  <si>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</si>
  <si>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</si>
  <si>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</si>
  <si>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</si>
  <si>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</si>
  <si>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</si>
  <si>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</si>
  <si>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</si>
  <si>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</si>
  <si>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</si>
  <si>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</si>
  <si>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</si>
  <si>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</si>
  <si>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</si>
  <si>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</si>
  <si>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</si>
  <si>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</si>
  <si>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</si>
  <si>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</si>
  <si>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</si>
  <si>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</si>
  <si>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</si>
  <si>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</si>
  <si>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</si>
  <si>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</si>
  <si>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</si>
  <si>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</si>
  <si>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</si>
  <si>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</si>
  <si>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</si>
  <si>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</si>
  <si>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</si>
  <si>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</si>
  <si>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</si>
  <si>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</si>
  <si>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</si>
  <si>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</si>
  <si>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</si>
  <si>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</si>
  <si>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</si>
  <si>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</si>
  <si>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</si>
  <si>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</si>
  <si>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</si>
  <si>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</si>
  <si>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</si>
  <si>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</si>
  <si>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</si>
  <si>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</si>
  <si>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</si>
  <si>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</si>
  <si>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</si>
  <si>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</si>
  <si>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</si>
  <si>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</si>
  <si>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</si>
  <si>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</si>
  <si>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</si>
  <si>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</si>
  <si>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</si>
  <si>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</si>
  <si>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</si>
  <si>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</si>
  <si>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</si>
  <si>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</si>
  <si>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</si>
  <si>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</si>
  <si>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</si>
  <si>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</si>
  <si>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</si>
  <si>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</si>
  <si>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</si>
  <si>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</si>
  <si>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</si>
  <si>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</si>
  <si>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</si>
  <si>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</si>
  <si>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</si>
  <si>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</si>
  <si>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</si>
  <si>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</si>
  <si>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</si>
  <si>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</si>
  <si>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</si>
  <si>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</si>
  <si>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</si>
  <si>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</si>
  <si>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</si>
  <si>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</si>
  <si>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</si>
  <si>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</si>
  <si>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</si>
  <si>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</si>
  <si>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</si>
  <si>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</si>
  <si>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</si>
  <si>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</si>
  <si>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</si>
  <si>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</si>
  <si>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</si>
  <si>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</si>
  <si>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</si>
  <si>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</si>
  <si>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</si>
  <si>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</si>
  <si>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</si>
  <si>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</si>
  <si>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</si>
  <si>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</si>
  <si>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</si>
  <si>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</si>
  <si>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</si>
  <si>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</si>
  <si>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</si>
  <si>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</si>
  <si>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</si>
  <si>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</si>
  <si>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</si>
  <si>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</si>
  <si>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</si>
  <si>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</si>
  <si>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</si>
  <si>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</si>
  <si>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</si>
  <si>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</si>
  <si>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</si>
  <si>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</si>
  <si>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</si>
  <si>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</si>
  <si>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</si>
  <si>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</si>
  <si>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</si>
  <si>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</si>
  <si>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</si>
  <si>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</si>
  <si>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</si>
  <si>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</si>
  <si>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</si>
  <si>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</si>
  <si>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</si>
  <si>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</si>
  <si>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</si>
  <si>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</si>
  <si>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</si>
  <si>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</si>
  <si>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</si>
  <si>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</si>
  <si>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</si>
  <si>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</si>
  <si>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</si>
  <si>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</si>
  <si>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</si>
  <si>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</si>
  <si>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</si>
  <si>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</si>
  <si>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</si>
  <si>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</si>
  <si>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</si>
  <si>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</si>
  <si>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</si>
  <si>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</si>
  <si>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</si>
  <si>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</si>
  <si>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</si>
  <si>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</si>
  <si>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</si>
  <si>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</si>
  <si>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</si>
  <si>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</si>
  <si>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</si>
  <si>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</si>
  <si>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</si>
  <si>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</si>
  <si>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</si>
  <si>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</si>
  <si>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</si>
  <si>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</si>
  <si>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</si>
  <si>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</si>
  <si>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</si>
  <si>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</si>
  <si>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</si>
  <si>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</si>
  <si>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</si>
  <si>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</si>
  <si>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</si>
  <si>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</si>
  <si>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</si>
  <si>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</si>
  <si>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</si>
  <si>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</si>
  <si>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</si>
  <si>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</si>
  <si>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</si>
  <si>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</si>
  <si>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</si>
  <si>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</si>
  <si>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</si>
  <si>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</si>
  <si>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</si>
  <si>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</si>
  <si>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</si>
  <si>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</si>
  <si>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</si>
  <si>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</si>
  <si>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</si>
  <si>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</si>
  <si>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</si>
  <si>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</si>
  <si>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</si>
  <si>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</si>
  <si>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</si>
  <si>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</si>
  <si>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</si>
  <si>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</si>
  <si>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</si>
  <si>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</si>
  <si>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</si>
  <si>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</si>
  <si>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</si>
  <si>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</si>
  <si>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</si>
  <si>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</si>
  <si>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</si>
  <si>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</si>
  <si>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</si>
  <si>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</si>
  <si>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</si>
  <si>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</si>
  <si>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</si>
  <si>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</si>
  <si>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</si>
  <si>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</si>
  <si>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</si>
  <si>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</si>
  <si>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</si>
  <si>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</si>
  <si>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</si>
  <si>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</si>
  <si>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</si>
  <si>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</si>
  <si>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</si>
  <si>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</si>
  <si>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</si>
  <si>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</si>
  <si>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</si>
  <si>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</si>
  <si>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</si>
  <si>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</si>
  <si>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</si>
  <si>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</si>
  <si>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</si>
  <si>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</si>
  <si>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</si>
  <si>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</si>
  <si>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</si>
  <si>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</si>
  <si>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</si>
  <si>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</si>
  <si>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</si>
  <si>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</si>
  <si>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</si>
  <si>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</si>
  <si>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</si>
  <si>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</si>
  <si>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</si>
  <si>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</si>
  <si>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</si>
  <si>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</si>
  <si>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</si>
  <si>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</si>
  <si>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</si>
  <si>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</si>
  <si>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</si>
  <si>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</si>
  <si>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</si>
  <si>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</si>
  <si>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</si>
  <si>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</si>
  <si>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</si>
  <si>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</si>
  <si>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</si>
  <si>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</si>
  <si>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</si>
  <si>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</si>
  <si>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</si>
  <si>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</si>
  <si>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</si>
  <si>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</si>
  <si>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</si>
  <si>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</si>
  <si>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</si>
  <si>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</si>
  <si>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</si>
  <si>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</si>
  <si>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</si>
  <si>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</si>
  <si>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</si>
  <si>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</si>
  <si>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</si>
  <si>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</si>
  <si>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</si>
  <si>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</si>
  <si>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</si>
  <si>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</si>
  <si>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</si>
  <si>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</si>
  <si>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</si>
  <si>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</si>
  <si>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</si>
  <si>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</si>
  <si>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</si>
  <si>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</si>
  <si>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</si>
  <si>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</si>
  <si>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</si>
  <si>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</si>
  <si>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</si>
  <si>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</si>
  <si>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</si>
  <si>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</si>
  <si>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</si>
  <si>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</si>
  <si>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</si>
  <si>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</si>
  <si>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</si>
  <si>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</si>
  <si>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</si>
  <si>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</si>
  <si>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</si>
  <si>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</si>
  <si>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</si>
  <si>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</si>
  <si>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</si>
  <si>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</si>
  <si>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</si>
  <si>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</si>
  <si>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</si>
  <si>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</si>
  <si>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</si>
  <si>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</si>
  <si>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</si>
  <si>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</si>
  <si>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</si>
  <si>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</si>
  <si>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</si>
  <si>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</si>
  <si>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</si>
  <si>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</si>
  <si>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</si>
  <si>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</si>
  <si>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</si>
  <si>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</si>
  <si>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</si>
  <si>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</si>
  <si>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</si>
  <si>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</si>
  <si>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</si>
  <si>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</si>
  <si>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</si>
  <si>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</si>
  <si>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</si>
  <si>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</si>
  <si>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</si>
  <si>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</si>
  <si>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</si>
  <si>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</si>
  <si>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</si>
  <si>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</si>
  <si>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</si>
  <si>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</si>
  <si>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</si>
  <si>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</si>
  <si>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</si>
  <si>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</si>
  <si>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</si>
  <si>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</si>
  <si>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</si>
  <si>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</si>
  <si>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</si>
  <si>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</si>
  <si>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</si>
  <si>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</si>
  <si>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</si>
  <si>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</si>
  <si>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</si>
  <si>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</si>
  <si>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</si>
  <si>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</si>
  <si>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</si>
  <si>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</si>
  <si>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</si>
  <si>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</si>
  <si>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</si>
  <si>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</si>
  <si>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</si>
  <si>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</si>
  <si>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</si>
  <si>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</si>
  <si>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</si>
  <si>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</si>
  <si>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</si>
  <si>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</si>
  <si>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</si>
  <si>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</si>
  <si>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</si>
  <si>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</si>
  <si>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</si>
  <si>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</si>
  <si>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</si>
  <si>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</si>
  <si>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</si>
  <si>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</si>
  <si>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</si>
  <si>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</si>
  <si>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</si>
  <si>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</si>
  <si>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</si>
  <si>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</si>
  <si>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</si>
  <si>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</si>
  <si>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</si>
  <si>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</si>
  <si>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</si>
  <si>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</si>
  <si>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</si>
  <si>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</si>
  <si>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</si>
  <si>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</si>
  <si>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</si>
  <si>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</si>
  <si>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</si>
  <si>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</si>
  <si>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</si>
  <si>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</si>
  <si>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</si>
  <si>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</si>
  <si>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</si>
  <si>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</si>
  <si>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</si>
  <si>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</si>
  <si>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</si>
  <si>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</si>
  <si>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</si>
  <si>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</si>
  <si>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</si>
  <si>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</si>
  <si>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</si>
  <si>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</si>
  <si>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</si>
  <si>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</si>
  <si>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</si>
  <si>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</si>
  <si>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</si>
  <si>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</si>
  <si>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</si>
  <si>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</si>
  <si>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</si>
  <si>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</si>
  <si>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</si>
  <si>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</si>
  <si>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</si>
  <si>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</si>
  <si>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</si>
  <si>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</si>
  <si>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</si>
  <si>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</si>
  <si>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</si>
  <si>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</si>
  <si>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</si>
  <si>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</si>
  <si>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</si>
  <si>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</si>
  <si>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</si>
  <si>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</si>
  <si>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</si>
  <si>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</si>
  <si>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</si>
  <si>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</si>
  <si>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</si>
  <si>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</si>
  <si>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</si>
  <si>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</si>
  <si>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</si>
  <si>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</si>
  <si>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</si>
  <si>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</si>
  <si>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</si>
  <si>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</si>
  <si>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</si>
  <si>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</si>
  <si>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</si>
  <si>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</si>
  <si>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</si>
  <si>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</si>
  <si>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</si>
  <si>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</si>
  <si>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</si>
  <si>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</si>
  <si>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</si>
  <si>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</si>
  <si>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</si>
  <si>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</si>
  <si>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</si>
  <si>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</si>
  <si>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</si>
  <si>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</si>
  <si>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</si>
  <si>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</si>
  <si>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</si>
  <si>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</si>
  <si>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</si>
  <si>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</si>
  <si>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</si>
  <si>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</si>
  <si>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</si>
  <si>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</si>
  <si>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</si>
  <si>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</si>
  <si>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</si>
  <si>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</si>
  <si>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</si>
  <si>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</si>
  <si>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</si>
  <si>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</si>
  <si>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</si>
  <si>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</si>
  <si>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</si>
  <si>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</si>
  <si>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</si>
  <si>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</si>
  <si>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</si>
  <si>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</si>
  <si>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</si>
  <si>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</si>
  <si>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</si>
  <si>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</si>
  <si>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</si>
  <si>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</si>
  <si>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</si>
  <si>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</si>
  <si>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</si>
  <si>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</si>
  <si>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</si>
  <si>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</si>
  <si>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</si>
  <si>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</si>
  <si>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</si>
  <si>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</si>
  <si>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</si>
  <si>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</si>
  <si>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</si>
  <si>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</si>
  <si>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</si>
  <si>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</si>
  <si>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</si>
  <si>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</si>
  <si>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</si>
  <si>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</si>
  <si>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</si>
  <si>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</si>
  <si>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</si>
  <si>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</si>
  <si>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</si>
  <si>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</si>
  <si>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</si>
  <si>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</si>
  <si>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</si>
  <si>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</si>
  <si>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</si>
  <si>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</si>
  <si>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</si>
  <si>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</si>
  <si>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</si>
  <si>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</si>
  <si>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</si>
  <si>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</si>
  <si>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</si>
  <si>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</si>
  <si>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</si>
  <si>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</si>
  <si>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</si>
  <si>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</si>
  <si>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</si>
  <si>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</si>
  <si>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</si>
  <si>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</si>
  <si>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</si>
  <si>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</si>
  <si>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</si>
  <si>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</si>
  <si>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</si>
  <si>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</si>
  <si>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</si>
  <si>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</si>
  <si>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</si>
  <si>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</si>
  <si>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</si>
  <si>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</si>
  <si>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</si>
  <si>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</si>
  <si>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</si>
  <si>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</si>
  <si>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</si>
  <si>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</si>
  <si>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</si>
  <si>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</si>
  <si>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</si>
  <si>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</si>
  <si>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</si>
  <si>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</si>
  <si>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</si>
  <si>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</si>
  <si>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</si>
  <si>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</si>
  <si>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</si>
  <si>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</si>
  <si>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</si>
  <si>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</si>
  <si>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</si>
  <si>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</si>
  <si>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</si>
  <si>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</si>
  <si>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</si>
  <si>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</si>
  <si>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</si>
  <si>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</si>
  <si>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</si>
  <si>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</si>
  <si>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</si>
  <si>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</si>
  <si>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</si>
  <si>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</si>
  <si>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</si>
  <si>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</si>
  <si>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</si>
  <si>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</si>
  <si>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</si>
  <si>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</si>
  <si>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</si>
  <si>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</si>
  <si>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</si>
  <si>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</si>
  <si>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</si>
  <si>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</si>
  <si>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</si>
  <si>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</si>
  <si>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</si>
  <si>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</si>
  <si>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</si>
  <si>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</si>
  <si>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</si>
  <si>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</si>
  <si>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</si>
  <si>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</si>
  <si>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</si>
  <si>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</si>
  <si>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</si>
  <si>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</si>
  <si>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</si>
  <si>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</si>
  <si>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</si>
  <si>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</si>
  <si>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</si>
  <si>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</si>
  <si>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</si>
  <si>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</si>
  <si>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</si>
  <si>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</si>
  <si>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</si>
  <si>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</si>
  <si>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</si>
  <si>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</si>
  <si>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</si>
  <si>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</si>
  <si>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</si>
  <si>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</si>
  <si>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</si>
  <si>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</si>
  <si>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</si>
  <si>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</si>
  <si>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</si>
  <si>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</si>
  <si>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</si>
  <si>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</si>
  <si>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</si>
  <si>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</si>
  <si>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</si>
  <si>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</si>
  <si>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</si>
  <si>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</si>
  <si>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</si>
  <si>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</si>
  <si>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</si>
  <si>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</si>
  <si>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</si>
  <si>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</si>
  <si>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</si>
  <si>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</si>
  <si>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</si>
  <si>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</si>
  <si>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</si>
  <si>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</si>
  <si>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</si>
  <si>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</si>
  <si>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</si>
  <si>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</si>
  <si>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</si>
  <si>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</si>
  <si>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</si>
  <si>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</si>
  <si>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</si>
  <si>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</si>
  <si>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</si>
  <si>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</si>
  <si>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</si>
  <si>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</si>
  <si>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</si>
  <si>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</si>
  <si>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</si>
  <si>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</si>
  <si>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</si>
  <si>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</si>
  <si>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</si>
  <si>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</si>
  <si>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</si>
  <si>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</si>
  <si>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</si>
  <si>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</si>
  <si>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</si>
  <si>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</si>
  <si>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</si>
  <si>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</si>
  <si>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</si>
  <si>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</si>
  <si>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</si>
  <si>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</si>
  <si>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</si>
  <si>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</si>
  <si>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</si>
  <si>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</si>
  <si>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</si>
  <si>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</si>
  <si>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</si>
  <si>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</si>
  <si>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</si>
  <si>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</si>
  <si>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</si>
  <si>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</si>
  <si>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</si>
  <si>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</si>
  <si>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</si>
  <si>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</si>
  <si>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</si>
  <si>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</si>
  <si>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</si>
  <si>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</si>
  <si>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</si>
  <si>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</si>
  <si>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</si>
  <si>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</si>
  <si>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</si>
  <si>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</si>
  <si>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</si>
  <si>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</si>
  <si>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</si>
  <si>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</si>
  <si>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</si>
  <si>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</si>
  <si>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</si>
  <si>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</si>
  <si>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</si>
  <si>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</si>
  <si>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</si>
  <si>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</si>
  <si>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</si>
  <si>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</si>
  <si>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</si>
  <si>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</si>
  <si>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</si>
  <si>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</si>
  <si>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</si>
  <si>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</si>
  <si>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</si>
  <si>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</si>
  <si>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</si>
  <si>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</si>
  <si>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</si>
  <si>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</si>
  <si>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</si>
  <si>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</si>
  <si>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</si>
  <si>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</si>
  <si>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</si>
  <si>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</si>
  <si>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</si>
  <si>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</si>
  <si>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</si>
  <si>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</si>
  <si>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</si>
  <si>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</si>
  <si>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</si>
  <si>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</si>
  <si>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</si>
  <si>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</si>
  <si>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</si>
  <si>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</si>
  <si>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</si>
  <si>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</si>
  <si>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</si>
  <si>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</si>
  <si>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</si>
  <si>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</si>
  <si>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</si>
  <si>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</si>
  <si>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</si>
  <si>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</si>
  <si>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</si>
  <si>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</si>
  <si>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</si>
  <si>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</si>
  <si>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</si>
  <si>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</si>
  <si>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</si>
  <si>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</si>
  <si>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</si>
  <si>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</si>
  <si>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</si>
  <si>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</si>
  <si>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</si>
  <si>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</si>
  <si>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</si>
  <si>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</si>
  <si>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</si>
  <si>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</si>
  <si>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</si>
  <si>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</si>
  <si>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</si>
  <si>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</si>
  <si>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</si>
  <si>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</si>
  <si>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</si>
  <si>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</si>
  <si>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</si>
  <si>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</si>
  <si>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</si>
  <si>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</si>
  <si>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</si>
  <si>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</si>
  <si>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</si>
  <si>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</si>
  <si>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</si>
  <si>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</si>
  <si>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</si>
  <si>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</si>
  <si>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</si>
  <si>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</si>
  <si>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</si>
  <si>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</si>
  <si>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</si>
  <si>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</si>
  <si>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</si>
  <si>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</si>
  <si>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</si>
  <si>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</si>
  <si>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</si>
  <si>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</si>
  <si>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</si>
  <si>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</si>
  <si>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</si>
  <si>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</si>
  <si>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</si>
  <si>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</si>
  <si>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</si>
  <si>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</si>
  <si>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</si>
  <si>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</si>
  <si>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</si>
  <si>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</si>
  <si>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</si>
  <si>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</si>
  <si>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</si>
  <si>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</si>
  <si>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</si>
  <si>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</si>
  <si>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</si>
  <si>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</si>
  <si>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</si>
  <si>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</si>
  <si>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</si>
  <si>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</si>
  <si>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</si>
  <si>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</si>
  <si>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</si>
  <si>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</si>
  <si>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</si>
  <si>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</si>
  <si>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</si>
  <si>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</si>
  <si>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</si>
  <si>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</si>
  <si>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</si>
  <si>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</si>
  <si>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</si>
  <si>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</si>
  <si>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</si>
  <si>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</si>
  <si>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</si>
  <si>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</si>
  <si>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</si>
  <si>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</si>
  <si>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</si>
  <si>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</si>
  <si>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</si>
  <si>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</si>
  <si>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</si>
  <si>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</si>
  <si>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</si>
  <si>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</si>
  <si>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</si>
  <si>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</si>
  <si>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</si>
  <si>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</si>
  <si>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</si>
  <si>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</si>
  <si>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</si>
  <si>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</si>
  <si>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</si>
  <si>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</si>
  <si>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</si>
  <si>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</si>
  <si>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</si>
  <si>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</si>
  <si>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</si>
  <si>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</si>
  <si>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</si>
  <si>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</si>
  <si>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</si>
  <si>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</si>
  <si>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</si>
  <si>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</si>
  <si>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</si>
  <si>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</si>
  <si>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</si>
  <si>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</si>
  <si>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</si>
  <si>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</si>
  <si>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</si>
  <si>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</si>
  <si>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</si>
  <si>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</si>
  <si>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</si>
  <si>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</si>
  <si>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</si>
  <si>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</si>
  <si>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</si>
  <si>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</si>
  <si>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</si>
  <si>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</si>
  <si>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</si>
  <si>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</si>
  <si>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</si>
  <si>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</si>
  <si>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</si>
  <si>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</si>
  <si>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</si>
  <si>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</si>
  <si>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</si>
  <si>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</si>
  <si>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</si>
  <si>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</si>
  <si>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</si>
  <si>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</si>
  <si>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</si>
  <si>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</si>
  <si>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</si>
  <si>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</si>
  <si>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</si>
  <si>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</si>
  <si>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</si>
  <si>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</si>
  <si>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</si>
  <si>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</si>
  <si>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</si>
  <si>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</si>
  <si>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</si>
  <si>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</si>
  <si>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</si>
  <si>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</si>
  <si>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</si>
  <si>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</si>
  <si>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</si>
  <si>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</si>
  <si>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</si>
  <si>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</si>
  <si>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</si>
  <si>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</si>
  <si>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</si>
  <si>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</si>
  <si>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</si>
  <si>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</si>
  <si>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</si>
  <si>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</si>
  <si>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</si>
  <si>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</si>
  <si>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</si>
  <si>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</si>
  <si>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</si>
  <si>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</si>
  <si>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</si>
  <si>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</si>
  <si>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</si>
  <si>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</si>
  <si>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</si>
  <si>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</si>
  <si>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</si>
  <si>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</si>
  <si>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</si>
  <si>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</si>
  <si>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</si>
  <si>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</si>
  <si>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</si>
  <si>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</si>
  <si>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</si>
  <si>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</si>
  <si>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</si>
  <si>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</si>
  <si>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</si>
  <si>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</si>
  <si>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</si>
  <si>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</si>
  <si>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</si>
  <si>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</si>
  <si>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</si>
  <si>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</si>
  <si>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</si>
  <si>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</si>
  <si>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</si>
  <si>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</si>
  <si>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</si>
  <si>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</si>
  <si>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</si>
  <si>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</si>
  <si>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</si>
  <si>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</si>
  <si>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</si>
  <si>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</si>
  <si>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</si>
  <si>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</si>
  <si>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</si>
  <si>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</si>
  <si>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</si>
  <si>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</si>
  <si>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</si>
  <si>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</si>
  <si>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</si>
  <si>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</si>
  <si>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</si>
  <si>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</si>
  <si>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</si>
  <si>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</si>
  <si>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</si>
  <si>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</si>
  <si>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</si>
  <si>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</si>
  <si>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</si>
  <si>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</si>
  <si>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</si>
  <si>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</si>
  <si>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</si>
  <si>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</si>
  <si>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</si>
  <si>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</si>
  <si>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</si>
  <si>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</si>
  <si>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</si>
  <si>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</si>
  <si>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</si>
  <si>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</si>
  <si>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</si>
  <si>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</si>
  <si>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</si>
  <si>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</si>
  <si>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</si>
  <si>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</si>
  <si>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</si>
  <si>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</si>
  <si>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</si>
  <si>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</si>
  <si>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</si>
  <si>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</si>
  <si>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</si>
  <si>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</si>
  <si>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</si>
  <si>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</si>
  <si>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</si>
  <si>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</si>
  <si>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</si>
  <si>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</si>
  <si>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</si>
  <si>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</si>
  <si>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</si>
  <si>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</si>
  <si>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</si>
  <si>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</si>
  <si>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</si>
  <si>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</si>
  <si>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</si>
  <si>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</si>
  <si>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</si>
  <si>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</si>
  <si>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</si>
  <si>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</si>
  <si>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</si>
  <si>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</si>
  <si>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</si>
  <si>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</si>
  <si>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</si>
  <si>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</si>
  <si>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</si>
  <si>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</si>
  <si>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</si>
  <si>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</si>
  <si>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</si>
  <si>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</si>
  <si>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</si>
  <si>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</si>
  <si>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</si>
  <si>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</si>
  <si>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</si>
  <si>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</si>
  <si>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</si>
  <si>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</si>
  <si>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</si>
  <si>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</si>
  <si>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</si>
  <si>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</si>
  <si>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</si>
  <si>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</si>
  <si>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</si>
  <si>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</si>
  <si>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</si>
  <si>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</si>
  <si>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</si>
  <si>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</si>
  <si>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</si>
  <si>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</si>
  <si>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</si>
  <si>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</si>
  <si>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</si>
  <si>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</si>
  <si>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</si>
  <si>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</si>
  <si>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</si>
  <si>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</si>
  <si>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</si>
  <si>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</si>
  <si>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</si>
  <si>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</si>
  <si>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</si>
  <si>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</si>
  <si>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</si>
  <si>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</si>
  <si>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</si>
  <si>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</si>
  <si>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</si>
  <si>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</si>
  <si>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</si>
  <si>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</si>
  <si>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</si>
  <si>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</si>
  <si>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</si>
  <si>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</si>
  <si>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</si>
  <si>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</si>
  <si>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</si>
  <si>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</si>
  <si>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</si>
  <si>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</si>
  <si>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</si>
  <si>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</si>
  <si>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</si>
  <si>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</si>
  <si>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</si>
  <si>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</si>
  <si>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</si>
  <si>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</si>
  <si>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</si>
  <si>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</si>
  <si>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</si>
  <si>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</si>
  <si>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</si>
  <si>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</si>
  <si>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</si>
  <si>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</si>
  <si>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</si>
  <si>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</si>
  <si>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</si>
  <si>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</si>
  <si>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</si>
  <si>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</si>
  <si>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</si>
  <si>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</si>
  <si>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</si>
  <si>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</si>
  <si>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</si>
  <si>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</si>
  <si>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</si>
  <si>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</si>
  <si>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</si>
  <si>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</si>
  <si>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</si>
  <si>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</si>
  <si>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</si>
  <si>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</si>
  <si>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</si>
  <si>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</si>
  <si>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</si>
  <si>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</si>
  <si>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</si>
  <si>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</si>
  <si>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</si>
  <si>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</si>
  <si>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</si>
  <si>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</si>
  <si>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</si>
  <si>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</si>
  <si>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</si>
  <si>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</si>
  <si>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</si>
  <si>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</si>
  <si>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</si>
  <si>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</si>
  <si>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</si>
  <si>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</si>
  <si>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</si>
  <si>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</si>
  <si>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</si>
  <si>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</si>
  <si>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</si>
  <si>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</si>
  <si>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</si>
  <si>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</si>
  <si>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</si>
  <si>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</si>
  <si>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</si>
  <si>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</si>
  <si>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</si>
  <si>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</si>
  <si>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</si>
  <si>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</si>
  <si>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</si>
  <si>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</si>
  <si>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</si>
  <si>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</si>
  <si>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</si>
  <si>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</si>
  <si>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</si>
  <si>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</si>
  <si>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</si>
  <si>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</si>
  <si>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</si>
  <si>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</si>
  <si>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</si>
  <si>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</si>
  <si>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</si>
  <si>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</si>
  <si>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</si>
  <si>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</si>
  <si>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</si>
  <si>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</si>
  <si>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</si>
  <si>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</si>
  <si>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</si>
  <si>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</si>
  <si>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</si>
  <si>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</si>
  <si>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</si>
  <si>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</si>
  <si>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</si>
  <si>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</si>
  <si>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</si>
  <si>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</si>
  <si>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</si>
  <si>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</si>
  <si>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</si>
  <si>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</si>
  <si>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</si>
  <si>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</si>
  <si>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</si>
  <si>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</si>
  <si>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</si>
  <si>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</si>
  <si>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</si>
  <si>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</si>
  <si>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</si>
  <si>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</si>
  <si>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</si>
  <si>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</si>
  <si>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</si>
  <si>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</si>
  <si>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</si>
  <si>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</si>
  <si>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</si>
  <si>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</si>
  <si>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</si>
  <si>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</si>
  <si>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</si>
  <si>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</si>
  <si>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</si>
  <si>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</si>
  <si>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</si>
  <si>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</si>
  <si>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</si>
  <si>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</si>
  <si>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</si>
  <si>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</si>
  <si>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</si>
  <si>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</si>
  <si>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</si>
  <si>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</si>
  <si>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</si>
  <si>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</si>
  <si>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</si>
  <si>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</si>
  <si>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</si>
  <si>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</si>
  <si>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</si>
  <si>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</si>
  <si>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</si>
  <si>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</si>
  <si>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</si>
  <si>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</si>
  <si>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</si>
  <si>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</si>
  <si>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</si>
  <si>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</si>
  <si>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</si>
  <si>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</si>
  <si>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</si>
  <si>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</si>
  <si>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</si>
  <si>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</si>
  <si>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</si>
  <si>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</si>
  <si>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</si>
  <si>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</si>
  <si>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</si>
  <si>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</si>
  <si>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</si>
  <si>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</si>
  <si>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</si>
  <si>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</si>
  <si>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</si>
  <si>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</si>
  <si>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</si>
  <si>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</si>
  <si>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</si>
  <si>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</si>
  <si>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</si>
  <si>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</si>
  <si>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</si>
  <si>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</si>
  <si>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</si>
  <si>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</si>
  <si>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</si>
  <si>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</si>
  <si>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</si>
  <si>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</si>
  <si>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</si>
  <si>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</si>
  <si>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</si>
  <si>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</si>
  <si>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</si>
  <si>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</si>
  <si>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</si>
  <si>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</si>
  <si>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</si>
  <si>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</si>
  <si>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</si>
  <si>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</si>
  <si>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</si>
  <si>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</si>
  <si>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</si>
  <si>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</si>
  <si>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</si>
  <si>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</si>
  <si>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</si>
  <si>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</si>
  <si>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</si>
  <si>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</si>
  <si>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</si>
  <si>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</si>
  <si>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</si>
  <si>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</si>
  <si>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</si>
  <si>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</si>
  <si>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</si>
  <si>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</si>
  <si>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</si>
  <si>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</si>
  <si>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</si>
  <si>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</si>
  <si>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</si>
  <si>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</si>
  <si>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</si>
  <si>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</si>
  <si>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</si>
  <si>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</si>
  <si>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</si>
  <si>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</si>
  <si>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</si>
  <si>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</si>
  <si>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</si>
  <si>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</si>
  <si>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</si>
  <si>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</si>
  <si>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</si>
  <si>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</si>
  <si>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</si>
  <si>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</si>
  <si>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</si>
  <si>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</si>
  <si>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</si>
  <si>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</si>
  <si>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</si>
  <si>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</si>
  <si>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</si>
  <si>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</si>
  <si>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</si>
  <si>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</si>
  <si>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</si>
  <si>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</si>
  <si>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</si>
  <si>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</si>
  <si>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</si>
  <si>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</si>
  <si>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</si>
  <si>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</si>
  <si>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</si>
  <si>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</si>
  <si>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</si>
  <si>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</si>
  <si>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</si>
  <si>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</si>
  <si>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</si>
  <si>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</si>
  <si>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</si>
  <si>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</si>
  <si>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</si>
  <si>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</si>
  <si>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</si>
  <si>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</si>
  <si>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</si>
  <si>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</si>
  <si>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</si>
  <si>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</si>
  <si>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</si>
  <si>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</si>
  <si>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</si>
  <si>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</si>
  <si>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</si>
  <si>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</si>
  <si>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</si>
  <si>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</si>
  <si>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</si>
  <si>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</si>
  <si>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</si>
  <si>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</si>
  <si>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</si>
  <si>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</si>
  <si>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</si>
  <si>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</si>
  <si>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</si>
  <si>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</si>
  <si>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</si>
  <si>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</si>
  <si>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</si>
  <si>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</si>
  <si>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</si>
  <si>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</si>
  <si>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</si>
  <si>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</si>
  <si>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</si>
  <si>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</si>
  <si>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</si>
  <si>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</si>
  <si>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</si>
  <si>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</si>
  <si>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</si>
  <si>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</si>
  <si>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</si>
  <si>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</si>
  <si>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</si>
  <si>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</si>
  <si>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</si>
  <si>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</si>
  <si>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</si>
  <si>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</si>
  <si>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</si>
  <si>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</si>
  <si>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</si>
  <si>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</si>
  <si>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</si>
  <si>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</si>
  <si>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</si>
  <si>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</si>
  <si>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</si>
  <si>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</si>
  <si>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</si>
  <si>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</si>
  <si>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</si>
  <si>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</si>
  <si>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</si>
  <si>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</si>
  <si>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</si>
  <si>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</si>
  <si>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</si>
  <si>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</si>
  <si>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</si>
  <si>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</si>
  <si>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</si>
  <si>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</si>
  <si>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</si>
  <si>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</si>
  <si>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</si>
  <si>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</si>
  <si>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</si>
  <si>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</si>
  <si>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</si>
  <si>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</si>
  <si>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</si>
  <si>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</si>
  <si>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</si>
  <si>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</si>
  <si>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</si>
  <si>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</si>
  <si>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</si>
  <si>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</si>
  <si>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</si>
  <si>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</si>
  <si>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</si>
  <si>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</si>
  <si>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</si>
  <si>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</si>
  <si>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</si>
  <si>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</si>
  <si>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</si>
  <si>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</si>
  <si>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</si>
  <si>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</si>
  <si>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</si>
  <si>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</si>
  <si>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</si>
  <si>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</si>
  <si>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</si>
  <si>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</si>
  <si>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</si>
  <si>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</si>
  <si>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</si>
  <si>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</si>
  <si>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</si>
  <si>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</si>
  <si>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</si>
  <si>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</si>
  <si>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</si>
  <si>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</si>
  <si>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</si>
  <si>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</si>
  <si>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</si>
  <si>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</si>
  <si>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</si>
  <si>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</si>
  <si>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</si>
  <si>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</si>
  <si>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</si>
  <si>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</si>
  <si>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</si>
  <si>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</si>
  <si>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</si>
  <si>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</si>
  <si>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</si>
  <si>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</si>
  <si>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</si>
  <si>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</si>
  <si>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</si>
  <si>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</si>
  <si>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</si>
  <si>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</si>
  <si>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</si>
  <si>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</si>
  <si>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</si>
  <si>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</si>
  <si>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</si>
  <si>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</si>
  <si>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</si>
  <si>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</si>
  <si>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</si>
  <si>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</si>
  <si>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</si>
  <si>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</si>
  <si>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</si>
  <si>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</si>
  <si>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</si>
  <si>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</si>
  <si>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</si>
  <si>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</si>
  <si>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</si>
  <si>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</si>
  <si>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</si>
  <si>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</si>
  <si>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</si>
  <si>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</si>
  <si>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</si>
  <si>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</si>
  <si>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</si>
  <si>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</si>
  <si>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</si>
  <si>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</si>
  <si>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</si>
  <si>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</si>
  <si>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</si>
  <si>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</si>
  <si>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</si>
  <si>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</si>
  <si>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</si>
  <si>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</si>
  <si>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</si>
  <si>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</si>
  <si>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</si>
  <si>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</si>
  <si>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</si>
  <si>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</si>
  <si>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</si>
  <si>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</si>
  <si>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</si>
  <si>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</si>
  <si>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</si>
  <si>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</si>
  <si>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</si>
  <si>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</si>
  <si>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</si>
  <si>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</si>
  <si>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</si>
  <si>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</si>
  <si>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</si>
  <si>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</si>
  <si>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</si>
  <si>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</si>
  <si>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</si>
  <si>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</si>
  <si>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</si>
  <si>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</si>
  <si>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</si>
  <si>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</si>
  <si>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</si>
  <si>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</si>
  <si>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</si>
  <si>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</si>
  <si>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</si>
  <si>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</si>
  <si>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</si>
  <si>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</si>
  <si>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</si>
  <si>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</si>
  <si>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</si>
  <si>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</si>
  <si>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</si>
  <si>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</si>
  <si>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</si>
  <si>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</si>
  <si>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</si>
  <si>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</si>
  <si>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</si>
  <si>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</si>
  <si>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</si>
  <si>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</si>
  <si>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</si>
  <si>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</si>
  <si>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</si>
  <si>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</si>
  <si>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</si>
  <si>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</si>
  <si>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</si>
  <si>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</si>
  <si>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</si>
  <si>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</si>
  <si>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</si>
  <si>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</si>
  <si>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</si>
  <si>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</si>
  <si>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</si>
  <si>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</si>
  <si>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</si>
  <si>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</si>
  <si>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</si>
  <si>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</si>
  <si>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</si>
  <si>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</si>
  <si>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</si>
  <si>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</si>
  <si>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</si>
  <si>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</si>
  <si>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</si>
  <si>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</si>
  <si>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</si>
  <si>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</si>
  <si>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</si>
  <si>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</si>
  <si>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</si>
  <si>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</si>
  <si>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</si>
  <si>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</si>
  <si>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</si>
  <si>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</si>
  <si>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</si>
  <si>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</si>
  <si>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</si>
  <si>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</si>
  <si>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</si>
  <si>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</si>
  <si>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</si>
  <si>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</si>
  <si>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</si>
  <si>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</si>
  <si>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</si>
  <si>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</si>
  <si>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</si>
  <si>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</si>
  <si>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</si>
  <si>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</si>
  <si>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</si>
  <si>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</si>
  <si>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</si>
  <si>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</si>
  <si>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</si>
  <si>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</si>
  <si>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</si>
  <si>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</si>
  <si>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</si>
  <si>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</si>
  <si>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</si>
  <si>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</si>
  <si>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</si>
  <si>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</si>
  <si>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</si>
  <si>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</si>
  <si>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</si>
  <si>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</si>
  <si>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</si>
  <si>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</si>
  <si>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</si>
  <si>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</si>
  <si>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</si>
  <si>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</si>
  <si>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</si>
  <si>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</si>
  <si>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</si>
  <si>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</si>
  <si>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</si>
  <si>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</si>
  <si>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</si>
  <si>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</si>
  <si>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</si>
  <si>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</si>
  <si>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</si>
  <si>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</si>
  <si>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</si>
  <si>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</si>
  <si>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</si>
  <si>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</si>
  <si>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</si>
  <si>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</si>
  <si>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</si>
  <si>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</si>
  <si>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</si>
  <si>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</si>
  <si>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</si>
  <si>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</si>
  <si>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</si>
  <si>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</si>
  <si>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</si>
  <si>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</si>
  <si>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</si>
  <si>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</si>
  <si>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</si>
  <si>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</si>
  <si>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</si>
  <si>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</si>
  <si>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</si>
  <si>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</si>
  <si>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</si>
  <si>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</si>
  <si>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</si>
  <si>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</si>
  <si>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</si>
  <si>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</si>
  <si>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</si>
  <si>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</si>
  <si>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</si>
  <si>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</si>
  <si>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</si>
  <si>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</si>
  <si>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</si>
  <si>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</si>
  <si>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</si>
  <si>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</si>
  <si>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</si>
  <si>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</si>
  <si>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</si>
  <si>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</si>
  <si>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</si>
  <si>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</si>
  <si>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</si>
  <si>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</si>
  <si>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</si>
  <si>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</si>
  <si>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</si>
  <si>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</si>
  <si>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</si>
  <si>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</si>
  <si>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</si>
  <si>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</si>
  <si>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</si>
  <si>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</si>
  <si>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</si>
  <si>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</si>
  <si>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</si>
  <si>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</si>
  <si>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</si>
  <si>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</si>
  <si>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</si>
  <si>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</si>
  <si>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</si>
  <si>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</si>
  <si>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</si>
  <si>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</si>
  <si>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</si>
  <si>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</si>
  <si>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</si>
  <si>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</si>
  <si>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</si>
  <si>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</si>
  <si>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</si>
  <si>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</si>
  <si>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</si>
  <si>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</si>
  <si>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</si>
  <si>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</si>
  <si>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</si>
  <si>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</si>
  <si>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</si>
  <si>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</si>
  <si>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</si>
  <si>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</si>
  <si>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</si>
  <si>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</si>
  <si>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</si>
  <si>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</si>
  <si>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</si>
  <si>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</si>
  <si>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</si>
  <si>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</si>
  <si>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</si>
  <si>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</si>
  <si>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</si>
  <si>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</si>
  <si>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</si>
  <si>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</si>
  <si>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</si>
  <si>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</si>
  <si>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</si>
  <si>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</si>
  <si>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</si>
  <si>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</si>
  <si>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</si>
  <si>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</si>
  <si>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</si>
  <si>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</si>
  <si>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</si>
  <si>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</si>
  <si>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</si>
  <si>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</si>
  <si>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</si>
  <si>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</si>
  <si>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</si>
  <si>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</si>
  <si>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</si>
  <si>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</si>
  <si>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</si>
  <si>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</si>
  <si>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</si>
  <si>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</si>
  <si>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</si>
  <si>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</si>
  <si>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</si>
  <si>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</si>
  <si>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</si>
  <si>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</si>
  <si>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</si>
  <si>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</si>
  <si>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</si>
  <si>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</si>
  <si>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</si>
  <si>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</si>
  <si>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</si>
  <si>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</si>
  <si>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</si>
  <si>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</si>
  <si>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</si>
  <si>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</si>
  <si>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</si>
  <si>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</si>
  <si>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</si>
  <si>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</si>
  <si>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</si>
  <si>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</si>
  <si>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</si>
  <si>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</si>
  <si>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</si>
  <si>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</si>
  <si>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</si>
  <si>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</si>
  <si>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</si>
  <si>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</si>
  <si>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</si>
  <si>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</si>
  <si>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</si>
  <si>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</si>
  <si>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</si>
  <si>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</si>
  <si>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</si>
  <si>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</si>
  <si>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</si>
  <si>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</si>
  <si>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</si>
  <si>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</si>
  <si>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</si>
  <si>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</si>
  <si>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</si>
  <si>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</si>
  <si>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</si>
  <si>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</si>
  <si>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</si>
  <si>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</si>
  <si>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</si>
  <si>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</si>
  <si>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</si>
  <si>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</si>
  <si>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</si>
  <si>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</si>
  <si>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</si>
  <si>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</si>
  <si>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</si>
  <si>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</si>
  <si>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</si>
  <si>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</si>
  <si>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</si>
  <si>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</si>
  <si>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</si>
  <si>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</si>
  <si>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</si>
  <si>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</si>
  <si>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</si>
  <si>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</si>
  <si>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</si>
  <si>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</si>
  <si>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</si>
  <si>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</si>
  <si>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</si>
  <si>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</si>
  <si>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</si>
  <si>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</si>
  <si>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</si>
  <si>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</si>
  <si>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</si>
  <si>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</si>
  <si>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</si>
  <si>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</si>
  <si>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</si>
  <si>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</si>
  <si>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</si>
  <si>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</si>
  <si>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</si>
  <si>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</si>
  <si>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</si>
  <si>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</si>
  <si>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</si>
  <si>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</si>
  <si>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</si>
  <si>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</si>
  <si>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</si>
  <si>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</si>
  <si>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</si>
  <si>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</si>
  <si>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</si>
  <si>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</si>
  <si>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</si>
  <si>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</si>
  <si>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</si>
  <si>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</si>
  <si>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</si>
  <si>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</si>
  <si>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</si>
  <si>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</si>
  <si>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</si>
  <si>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</si>
  <si>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</si>
  <si>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</si>
  <si>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</si>
  <si>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</si>
  <si>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</si>
  <si>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</si>
  <si>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</si>
  <si>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</si>
  <si>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</si>
  <si>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</si>
  <si>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</si>
  <si>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</si>
  <si>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</si>
  <si>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</si>
  <si>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</si>
  <si>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</si>
  <si>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</si>
  <si>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</si>
  <si>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</si>
  <si>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</si>
  <si>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</si>
  <si>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</si>
  <si>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</si>
  <si>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</si>
  <si>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</si>
  <si>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</si>
  <si>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</si>
  <si>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</si>
  <si>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</si>
  <si>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</si>
  <si>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</si>
  <si>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</si>
  <si>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</si>
  <si>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</si>
  <si>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</si>
  <si>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</si>
  <si>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</si>
  <si>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</si>
  <si>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</si>
  <si>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</si>
  <si>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</si>
  <si>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</si>
  <si>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</si>
  <si>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</si>
  <si>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</si>
  <si>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</si>
  <si>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</si>
  <si>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</si>
  <si>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</si>
  <si>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</si>
  <si>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</si>
  <si>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</si>
  <si>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</si>
  <si>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</si>
  <si>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</si>
  <si>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</si>
  <si>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</si>
  <si>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</si>
  <si>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</si>
  <si>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</si>
  <si>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</si>
  <si>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</si>
  <si>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</si>
  <si>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</si>
  <si>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</si>
  <si>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</si>
  <si>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</si>
  <si>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</si>
  <si>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</si>
  <si>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</si>
  <si>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</si>
  <si>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</si>
  <si>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</si>
  <si>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</si>
  <si>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</si>
  <si>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</si>
  <si>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</si>
  <si>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</si>
  <si>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</si>
  <si>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</si>
  <si>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</si>
  <si>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</si>
  <si>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</si>
  <si>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</si>
  <si>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</si>
  <si>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</si>
  <si>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</si>
  <si>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</si>
  <si>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</si>
  <si>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</si>
  <si>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</si>
  <si>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</si>
  <si>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</si>
  <si>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</si>
  <si>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</si>
  <si>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</si>
  <si>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</si>
  <si>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</si>
  <si>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</si>
  <si>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</si>
  <si>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</si>
  <si>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</si>
  <si>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</si>
  <si>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</si>
  <si>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</si>
  <si>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</si>
  <si>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</si>
  <si>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</si>
  <si>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</si>
  <si>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</si>
  <si>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</si>
  <si>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</si>
  <si>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</si>
  <si>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</si>
  <si>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</si>
  <si>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</si>
  <si>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</si>
  <si>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</si>
  <si>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</si>
  <si>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</si>
  <si>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</si>
  <si>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</si>
  <si>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</si>
  <si>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</si>
  <si>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</si>
  <si>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</si>
  <si>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</si>
  <si>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</si>
  <si>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</si>
  <si>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</si>
  <si>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</si>
  <si>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</si>
  <si>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</si>
  <si>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</si>
  <si>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</si>
  <si>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</si>
  <si>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</si>
  <si>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</si>
  <si>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</si>
  <si>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</si>
  <si>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</si>
  <si>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</si>
  <si>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</si>
  <si>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</si>
  <si>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</si>
  <si>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</si>
  <si>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</si>
  <si>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</si>
  <si>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</si>
  <si>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</si>
  <si>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</si>
  <si>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</si>
  <si>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</si>
  <si>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</si>
  <si>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</si>
  <si>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</si>
  <si>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</si>
  <si>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</si>
  <si>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</si>
  <si>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</si>
  <si>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</si>
  <si>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</si>
  <si>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</si>
  <si>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</si>
  <si>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</si>
  <si>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</si>
  <si>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</si>
  <si>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</si>
  <si>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</si>
  <si>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</si>
  <si>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</si>
  <si>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</si>
  <si>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</si>
  <si>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</si>
  <si>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</si>
  <si>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</si>
  <si>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</si>
  <si>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</si>
  <si>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</si>
  <si>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</si>
  <si>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</si>
  <si>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</si>
  <si>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</si>
  <si>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</si>
  <si>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</si>
  <si>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</si>
  <si>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</si>
  <si>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</si>
  <si>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</si>
  <si>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</si>
  <si>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</si>
  <si>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</si>
  <si>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</si>
  <si>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</si>
  <si>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</si>
  <si>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</si>
  <si>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</si>
  <si>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</si>
  <si>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</si>
  <si>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</si>
  <si>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</si>
  <si>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</si>
  <si>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</si>
  <si>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</si>
  <si>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</si>
  <si>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</si>
  <si>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</si>
  <si>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</si>
  <si>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</si>
  <si>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</si>
  <si>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</si>
  <si>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</si>
  <si>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</si>
  <si>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</si>
  <si>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</si>
  <si>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</si>
  <si>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</si>
  <si>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</si>
  <si>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</si>
  <si>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</si>
  <si>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</si>
  <si>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</si>
  <si>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</si>
  <si>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</si>
  <si>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</si>
  <si>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</si>
  <si>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</si>
  <si>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</si>
  <si>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</si>
  <si>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</si>
  <si>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</si>
  <si>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</si>
  <si>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</si>
  <si>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</si>
  <si>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</si>
  <si>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</si>
  <si>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</si>
  <si>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</si>
  <si>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</si>
  <si>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</si>
  <si>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</si>
  <si>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</si>
  <si>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</si>
  <si>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</si>
  <si>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</si>
  <si>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</si>
  <si>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</si>
  <si>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</si>
  <si>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</si>
  <si>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</si>
  <si>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</si>
  <si>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</si>
  <si>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</si>
  <si>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</si>
  <si>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</si>
  <si>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</si>
  <si>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</si>
  <si>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</si>
  <si>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</si>
  <si>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</si>
  <si>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</si>
  <si>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</si>
  <si>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</si>
  <si>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</si>
  <si>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</si>
  <si>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</si>
  <si>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</si>
  <si>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</si>
  <si>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</si>
  <si>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</si>
  <si>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</si>
  <si>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</si>
  <si>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</si>
  <si>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</si>
  <si>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</si>
  <si>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</si>
  <si>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</si>
  <si>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</si>
  <si>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</si>
  <si>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</si>
  <si>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</si>
  <si>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</si>
  <si>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</si>
  <si>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</si>
  <si>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</si>
  <si>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</si>
  <si>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</si>
  <si>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</si>
  <si>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</si>
  <si>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</si>
  <si>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</si>
  <si>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</si>
  <si>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</si>
  <si>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</si>
  <si>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</si>
  <si>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</si>
  <si>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</si>
  <si>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</si>
  <si>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</si>
  <si>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</si>
  <si>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</si>
  <si>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</si>
  <si>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</si>
  <si>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</si>
  <si>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</si>
  <si>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</si>
  <si>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</si>
  <si>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</si>
  <si>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</si>
  <si>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</si>
  <si>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</si>
  <si>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</si>
  <si>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</si>
  <si>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</si>
  <si>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</si>
  <si>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</si>
  <si>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</si>
  <si>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</si>
  <si>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</si>
  <si>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</si>
  <si>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</si>
  <si>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</si>
  <si>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</si>
  <si>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</si>
  <si>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</si>
  <si>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</si>
  <si>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</si>
  <si>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</si>
  <si>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</si>
  <si>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</si>
  <si>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</si>
  <si>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</si>
  <si>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</si>
  <si>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</si>
  <si>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</si>
  <si>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</si>
  <si>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</si>
  <si>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</si>
  <si>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</si>
  <si>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</si>
  <si>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</si>
  <si>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</si>
  <si>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</si>
  <si>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</si>
  <si>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</si>
  <si>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</si>
  <si>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</si>
  <si>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</si>
  <si>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</si>
  <si>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</si>
  <si>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</si>
  <si>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</si>
  <si>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</si>
  <si>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</si>
  <si>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</si>
  <si>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</si>
  <si>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</si>
  <si>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</si>
  <si>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</si>
  <si>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</si>
  <si>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</si>
  <si>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</si>
  <si>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</si>
  <si>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</si>
  <si>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</si>
  <si>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</si>
  <si>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</si>
  <si>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</si>
  <si>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</si>
  <si>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</si>
  <si>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</si>
  <si>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</si>
  <si>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</si>
  <si>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</si>
  <si>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</si>
  <si>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</si>
  <si>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</si>
  <si>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</si>
  <si>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</si>
  <si>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</si>
  <si>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</si>
  <si>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</si>
  <si>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</si>
  <si>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</si>
  <si>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</si>
  <si>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</si>
  <si>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</si>
  <si>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</si>
  <si>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</si>
  <si>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</si>
  <si>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</si>
  <si>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</si>
  <si>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</si>
  <si>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</si>
  <si>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</si>
  <si>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</si>
  <si>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</si>
  <si>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</si>
  <si>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</si>
  <si>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</si>
  <si>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</si>
  <si>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</si>
  <si>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</si>
  <si>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</si>
  <si>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</si>
  <si>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</si>
  <si>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</si>
  <si>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</si>
  <si>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</si>
  <si>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</si>
  <si>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</si>
  <si>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</si>
  <si>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</si>
  <si>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</si>
  <si>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</si>
  <si>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</si>
  <si>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</si>
  <si>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</si>
  <si>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</si>
  <si>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</si>
  <si>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</si>
  <si>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</si>
  <si>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</si>
  <si>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</si>
  <si>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</si>
  <si>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</si>
  <si>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</si>
  <si>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</si>
  <si>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</si>
  <si>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</si>
  <si>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</si>
  <si>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</si>
  <si>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</si>
  <si>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</si>
  <si>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</si>
  <si>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</si>
  <si>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</si>
  <si>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</si>
  <si>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</si>
  <si>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</si>
  <si>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</si>
  <si>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</si>
  <si>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</si>
  <si>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</si>
  <si>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</si>
  <si>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</si>
  <si>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</si>
  <si>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</si>
  <si>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</si>
  <si>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</si>
  <si>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</si>
  <si>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</si>
  <si>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</si>
  <si>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</si>
  <si>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</si>
  <si>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</si>
  <si>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</si>
  <si>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</si>
  <si>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</si>
  <si>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</si>
  <si>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</si>
  <si>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</si>
  <si>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</si>
  <si>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</si>
  <si>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</si>
  <si>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</si>
  <si>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</si>
  <si>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</si>
  <si>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</si>
  <si>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</si>
  <si>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</si>
  <si>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</si>
  <si>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</si>
  <si>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</si>
  <si>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</si>
  <si>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</si>
  <si>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</si>
  <si>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</si>
  <si>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</si>
  <si>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</si>
  <si>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</si>
  <si>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</si>
  <si>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</si>
  <si>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</si>
  <si>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</si>
  <si>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</si>
  <si>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</si>
  <si>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</si>
  <si>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</si>
  <si>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</si>
  <si>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</si>
  <si>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</si>
  <si>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</si>
  <si>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</si>
  <si>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</si>
  <si>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</si>
  <si>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</si>
  <si>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</si>
  <si>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</si>
  <si>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</si>
  <si>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</si>
  <si>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</si>
  <si>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</si>
  <si>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</si>
  <si>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</si>
  <si>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</si>
  <si>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</si>
  <si>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</si>
  <si>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</si>
  <si>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</si>
  <si>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</si>
  <si>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</si>
  <si>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</si>
  <si>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</si>
  <si>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</si>
  <si>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</si>
  <si>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</si>
  <si>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</si>
  <si>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</si>
  <si>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</si>
  <si>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</si>
  <si>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</si>
  <si>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</si>
  <si>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</si>
  <si>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</si>
  <si>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</si>
  <si>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</si>
  <si>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</si>
  <si>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</si>
  <si>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</si>
  <si>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</si>
  <si>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</si>
  <si>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</si>
  <si>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</si>
  <si>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</si>
  <si>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</si>
  <si>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</si>
  <si>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</si>
  <si>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</si>
  <si>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</si>
  <si>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</si>
  <si>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</si>
  <si>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</si>
  <si>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</si>
  <si>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</si>
  <si>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</si>
  <si>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</si>
  <si>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</si>
  <si>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</si>
  <si>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</si>
  <si>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</si>
  <si>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</si>
  <si>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</si>
  <si>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</si>
  <si>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</si>
  <si>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</si>
  <si>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</si>
  <si>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</si>
  <si>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</si>
  <si>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</si>
  <si>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</si>
  <si>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</si>
  <si>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</si>
  <si>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</si>
  <si>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</si>
  <si>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</si>
  <si>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</si>
  <si>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</si>
  <si>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</si>
  <si>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</si>
  <si>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</si>
  <si>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</si>
  <si>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</si>
  <si>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</si>
  <si>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</si>
  <si>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</si>
  <si>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</si>
  <si>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</si>
  <si>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</si>
  <si>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</si>
  <si>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</si>
  <si>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</si>
  <si>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</si>
  <si>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</si>
  <si>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</si>
  <si>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</si>
  <si>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</si>
  <si>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</si>
  <si>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</si>
  <si>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</si>
  <si>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</si>
  <si>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</si>
  <si>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</si>
  <si>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</si>
  <si>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</si>
  <si>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</si>
  <si>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</si>
  <si>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</si>
  <si>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</si>
  <si>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</si>
  <si>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</si>
  <si>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</si>
  <si>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</si>
  <si>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</si>
  <si>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</si>
  <si>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</si>
  <si>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</si>
  <si>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</si>
  <si>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</si>
  <si>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</si>
  <si>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</si>
  <si>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</si>
  <si>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</si>
  <si>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</si>
  <si>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</si>
  <si>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</si>
  <si>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</si>
  <si>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</si>
  <si>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</si>
  <si>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</si>
  <si>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</si>
  <si>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</si>
  <si>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</si>
  <si>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</si>
  <si>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</si>
  <si>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</si>
  <si>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</si>
  <si>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</si>
  <si>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</si>
  <si>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</si>
  <si>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</si>
  <si>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</si>
  <si>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</si>
  <si>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</si>
  <si>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</si>
  <si>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</si>
  <si>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</si>
  <si>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</si>
  <si>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</si>
  <si>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</si>
  <si>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</si>
  <si>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</si>
  <si>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</si>
  <si>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</si>
  <si>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</si>
  <si>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</si>
  <si>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</si>
  <si>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</si>
  <si>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</si>
  <si>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</si>
  <si>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</si>
  <si>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</si>
  <si>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</si>
  <si>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</si>
  <si>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</si>
  <si>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</si>
  <si>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</si>
  <si>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</si>
  <si>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</si>
  <si>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</si>
  <si>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</si>
  <si>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</si>
  <si>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</si>
  <si>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</si>
  <si>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</si>
  <si>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</si>
  <si>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</si>
  <si>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</si>
  <si>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</si>
  <si>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</si>
  <si>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</si>
  <si>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</si>
  <si>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</si>
  <si>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</si>
  <si>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</si>
  <si>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</si>
  <si>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</si>
  <si>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</si>
  <si>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</si>
  <si>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</si>
  <si>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</si>
  <si>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</si>
  <si>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</si>
  <si>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</si>
  <si>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</si>
  <si>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</si>
  <si>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</si>
  <si>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</si>
  <si>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</si>
  <si>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</si>
  <si>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</si>
  <si>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</si>
  <si>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</si>
  <si>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</si>
  <si>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</si>
  <si>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</si>
  <si>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</si>
  <si>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</si>
  <si>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</si>
  <si>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</si>
  <si>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</si>
  <si>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</si>
  <si>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</si>
  <si>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</si>
  <si>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</si>
  <si>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</si>
  <si>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</si>
  <si>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</si>
  <si>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</si>
  <si>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</si>
  <si>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</si>
  <si>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</si>
  <si>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</si>
  <si>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</si>
  <si>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</si>
  <si>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</si>
  <si>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</si>
  <si>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</si>
  <si>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</si>
  <si>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</si>
  <si>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</si>
  <si>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</si>
  <si>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</si>
  <si>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</si>
  <si>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</si>
  <si>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</si>
  <si>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</si>
  <si>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</si>
  <si>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</si>
  <si>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</si>
  <si>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</si>
  <si>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</si>
  <si>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</si>
  <si>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</si>
  <si>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</si>
  <si>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</si>
  <si>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</si>
  <si>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</si>
  <si>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</si>
  <si>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</si>
  <si>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</si>
  <si>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</si>
  <si>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</si>
  <si>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</si>
  <si>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</si>
  <si>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</si>
  <si>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</si>
  <si>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</si>
  <si>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</si>
  <si>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</si>
  <si>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</si>
  <si>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</si>
  <si>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</si>
  <si>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</si>
  <si>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</si>
  <si>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</si>
  <si>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</si>
  <si>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</si>
  <si>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</si>
  <si>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</si>
  <si>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</si>
  <si>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</si>
  <si>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</si>
  <si>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</si>
  <si>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</si>
  <si>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</si>
  <si>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</si>
  <si>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</si>
  <si>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</si>
  <si>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</si>
  <si>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</si>
  <si>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</si>
  <si>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</si>
  <si>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</si>
  <si>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</si>
  <si>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</si>
  <si>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</si>
  <si>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</si>
  <si>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</si>
  <si>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</si>
  <si>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</si>
  <si>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</si>
  <si>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</si>
  <si>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</si>
  <si>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</si>
  <si>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</si>
  <si>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</si>
  <si>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</si>
  <si>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</si>
  <si>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</si>
  <si>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</si>
  <si>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</si>
  <si>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</si>
  <si>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</si>
  <si>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</si>
  <si>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</si>
  <si>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</si>
  <si>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</si>
  <si>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</si>
  <si>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</si>
  <si>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</si>
  <si>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</si>
  <si>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</si>
  <si>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</si>
  <si>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</si>
  <si>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</si>
  <si>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</si>
  <si>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</si>
  <si>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</si>
  <si>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</si>
  <si>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</si>
  <si>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</si>
  <si>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</si>
  <si>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</si>
  <si>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</si>
  <si>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</si>
  <si>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</si>
  <si>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</si>
  <si>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</si>
  <si>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</si>
  <si>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</si>
  <si>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</si>
  <si>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</si>
  <si>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</si>
  <si>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</si>
  <si>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</si>
  <si>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</si>
  <si>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</si>
  <si>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</si>
  <si>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</si>
  <si>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</si>
  <si>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</si>
  <si>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</si>
  <si>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</si>
  <si>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</si>
  <si>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</si>
  <si>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</si>
  <si>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</si>
  <si>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</si>
  <si>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</si>
  <si>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</si>
  <si>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</si>
  <si>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</si>
  <si>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</si>
  <si>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</si>
  <si>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</si>
  <si>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</si>
  <si>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</si>
  <si>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</si>
  <si>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</si>
  <si>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</si>
  <si>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</si>
  <si>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</si>
  <si>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</si>
  <si>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</si>
  <si>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</si>
  <si>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</si>
  <si>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</si>
  <si>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</si>
  <si>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</si>
  <si>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</si>
  <si>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</si>
  <si>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</si>
  <si>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</si>
  <si>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</si>
  <si>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</si>
  <si>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</si>
  <si>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</si>
  <si>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</si>
  <si>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</si>
  <si>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</si>
  <si>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</si>
  <si>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</si>
  <si>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</si>
  <si>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</si>
  <si>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</si>
  <si>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</si>
  <si>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</si>
  <si>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</si>
  <si>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</si>
  <si>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</si>
  <si>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</si>
  <si>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</si>
  <si>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</si>
  <si>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</si>
  <si>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</si>
  <si>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</si>
  <si>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</si>
  <si>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</si>
  <si>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</si>
  <si>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</si>
  <si>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</si>
  <si>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</si>
  <si>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</si>
  <si>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</si>
  <si>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</si>
  <si>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</si>
  <si>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</si>
  <si>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</si>
  <si>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</si>
  <si>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</si>
  <si>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</si>
  <si>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</si>
  <si>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</si>
  <si>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</si>
  <si>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</si>
  <si>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</si>
  <si>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</si>
  <si>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</si>
  <si>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</si>
  <si>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</si>
  <si>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</si>
  <si>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</si>
  <si>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</si>
  <si>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</si>
  <si>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</si>
  <si>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</si>
  <si>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</si>
  <si>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</si>
  <si>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</si>
  <si>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</si>
  <si>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</si>
  <si>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</si>
  <si>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</si>
  <si>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</si>
  <si>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</si>
  <si>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</si>
  <si>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</si>
  <si>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</si>
  <si>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</si>
  <si>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</si>
  <si>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</si>
  <si>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</si>
  <si>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</si>
  <si>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</si>
  <si>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</si>
  <si>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</si>
  <si>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</si>
  <si>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</si>
  <si>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</si>
  <si>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</si>
  <si>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</si>
  <si>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</si>
  <si>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</si>
  <si>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</si>
  <si>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</si>
  <si>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</si>
  <si>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</si>
  <si>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</si>
  <si>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</si>
  <si>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</si>
  <si>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</si>
  <si>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</si>
  <si>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</si>
  <si>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</si>
  <si>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</si>
  <si>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</si>
  <si>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</si>
  <si>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</si>
  <si>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</si>
  <si>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</si>
  <si>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</si>
  <si>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</si>
  <si>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</si>
  <si>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</si>
  <si>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</si>
  <si>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</si>
  <si>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</si>
  <si>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</si>
  <si>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</si>
  <si>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</si>
  <si>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</si>
  <si>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</si>
  <si>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</si>
  <si>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</si>
  <si>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</si>
  <si>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</si>
  <si>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</si>
  <si>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</si>
  <si>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</si>
  <si>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</si>
  <si>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</si>
  <si>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</si>
  <si>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</si>
  <si>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</si>
  <si>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</si>
  <si>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</si>
  <si>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</si>
  <si>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</si>
  <si>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</si>
  <si>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</si>
  <si>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</si>
  <si>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</si>
  <si>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</si>
  <si>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</si>
  <si>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</si>
  <si>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</si>
  <si>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</si>
  <si>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</si>
  <si>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</si>
  <si>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</si>
  <si>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</si>
  <si>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</si>
  <si>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</si>
  <si>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</si>
  <si>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</si>
  <si>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</si>
  <si>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</si>
  <si>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</si>
  <si>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</si>
  <si>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</si>
  <si>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</si>
  <si>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</si>
  <si>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</si>
  <si>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</si>
  <si>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</si>
  <si>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</si>
  <si>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</si>
  <si>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</si>
  <si>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</si>
  <si>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</si>
  <si>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</si>
  <si>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</si>
  <si>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</si>
  <si>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</si>
  <si>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</si>
  <si>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</si>
  <si>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</si>
  <si>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</si>
  <si>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</si>
  <si>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</si>
  <si>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</si>
  <si>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</si>
  <si>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</si>
  <si>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</si>
  <si>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</si>
  <si>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</si>
  <si>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</si>
  <si>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</si>
  <si>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</si>
  <si>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</si>
  <si>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</si>
  <si>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</si>
  <si>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</si>
  <si>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</si>
  <si>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</si>
  <si>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</si>
  <si>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</si>
  <si>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</si>
  <si>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</si>
  <si>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</si>
  <si>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</si>
  <si>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</si>
  <si>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</si>
  <si>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</si>
  <si>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</si>
  <si>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</si>
  <si>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</si>
  <si>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</si>
  <si>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</si>
  <si>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</si>
  <si>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</si>
  <si>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</si>
  <si>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</si>
  <si>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</si>
  <si>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</si>
  <si>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</si>
  <si>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</si>
  <si>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</si>
  <si>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</si>
  <si>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</si>
  <si>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</si>
  <si>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</si>
  <si>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</si>
  <si>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</si>
  <si>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</si>
  <si>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</si>
  <si>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</si>
  <si>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</si>
  <si>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</si>
  <si>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</si>
  <si>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</si>
  <si>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</si>
  <si>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</si>
  <si>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</si>
  <si>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</si>
  <si>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</si>
  <si>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</si>
  <si>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</si>
  <si>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</si>
  <si>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</si>
  <si>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</si>
  <si>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</si>
  <si>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</si>
  <si>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</si>
  <si>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</si>
  <si>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</si>
  <si>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</si>
  <si>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</si>
  <si>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</si>
  <si>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</si>
  <si>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</si>
  <si>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</si>
  <si>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</si>
  <si>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</si>
  <si>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</si>
  <si>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</si>
  <si>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</si>
  <si>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</si>
  <si>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</si>
  <si>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</si>
  <si>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</si>
  <si>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</si>
  <si>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</si>
  <si>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</si>
  <si>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</si>
  <si>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</si>
  <si>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</si>
  <si>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</si>
  <si>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</si>
  <si>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</si>
  <si>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</si>
  <si>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</si>
  <si>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</si>
  <si>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</si>
  <si>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</si>
  <si>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</si>
  <si>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</si>
  <si>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</si>
  <si>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</si>
  <si>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</si>
  <si>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</si>
  <si>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</si>
  <si>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</si>
  <si>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</si>
  <si>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</si>
  <si>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</si>
  <si>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</si>
  <si>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</si>
  <si>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</si>
  <si>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</si>
  <si>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</si>
  <si>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</si>
  <si>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</si>
  <si>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</si>
  <si>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</si>
  <si>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</si>
  <si>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</si>
  <si>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</si>
  <si>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</si>
  <si>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</si>
  <si>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</si>
  <si>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</si>
  <si>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</si>
  <si>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</si>
  <si>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</si>
  <si>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</si>
  <si>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</si>
  <si>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</si>
  <si>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</si>
  <si>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</si>
  <si>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</si>
  <si>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</si>
  <si>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</si>
  <si>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</si>
  <si>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</si>
  <si>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</si>
  <si>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</si>
  <si>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</si>
  <si>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</si>
  <si>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</si>
  <si>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</si>
  <si>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</si>
  <si>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</si>
  <si>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</si>
  <si>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</si>
  <si>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</si>
  <si>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</si>
  <si>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</si>
  <si>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</si>
  <si>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</si>
  <si>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</si>
  <si>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</si>
  <si>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</si>
  <si>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</si>
  <si>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</si>
  <si>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</si>
  <si>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</si>
  <si>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</si>
  <si>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</si>
  <si>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</si>
  <si>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</si>
  <si>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</si>
  <si>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</si>
  <si>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</si>
  <si>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</si>
  <si>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</si>
  <si>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</si>
  <si>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</si>
  <si>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</si>
  <si>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</si>
  <si>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</si>
  <si>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</si>
  <si>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</si>
  <si>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</si>
  <si>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</si>
  <si>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</si>
  <si>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</si>
  <si>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</si>
  <si>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</si>
  <si>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</si>
  <si>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</si>
  <si>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</si>
  <si>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</si>
  <si>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</si>
  <si>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</si>
  <si>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</si>
  <si>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</si>
  <si>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</si>
  <si>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</si>
  <si>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</si>
  <si>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</si>
  <si>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</si>
  <si>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</si>
  <si>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</si>
  <si>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</si>
  <si>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</si>
  <si>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</si>
  <si>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</si>
  <si>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</si>
  <si>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</si>
  <si>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</si>
  <si>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</si>
  <si>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</si>
  <si>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</si>
  <si>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</si>
  <si>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</si>
  <si>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</si>
  <si>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</si>
  <si>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</si>
  <si>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</si>
  <si>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</si>
  <si>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</si>
  <si>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</si>
  <si>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</si>
  <si>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</si>
  <si>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</si>
  <si>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</si>
  <si>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</si>
  <si>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</si>
  <si>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</si>
  <si>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</si>
  <si>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</si>
  <si>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</si>
  <si>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</si>
  <si>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</si>
  <si>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</si>
  <si>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</si>
  <si>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</si>
  <si>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</si>
  <si>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</si>
  <si>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</si>
  <si>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</si>
  <si>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</si>
  <si>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</si>
  <si>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</si>
  <si>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</si>
  <si>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</si>
  <si>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</si>
  <si>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</si>
  <si>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</si>
  <si>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</si>
  <si>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</si>
  <si>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</si>
  <si>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</si>
  <si>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</si>
  <si>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</si>
  <si>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</si>
  <si>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</si>
  <si>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</si>
  <si>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</si>
  <si>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</si>
  <si>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</si>
  <si>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</si>
  <si>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</si>
  <si>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</si>
  <si>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</si>
  <si>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</si>
  <si>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</si>
  <si>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</si>
  <si>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</si>
  <si>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</si>
  <si>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</si>
  <si>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</si>
  <si>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</si>
  <si>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</si>
  <si>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</si>
  <si>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</si>
  <si>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</si>
  <si>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</si>
  <si>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</si>
  <si>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</si>
  <si>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</si>
  <si>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</si>
  <si>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</si>
  <si>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</si>
  <si>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</si>
  <si>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</si>
  <si>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</si>
  <si>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</si>
  <si>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</si>
  <si>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</si>
  <si>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</si>
  <si>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</si>
  <si>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</si>
  <si>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</si>
  <si>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</si>
  <si>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</si>
  <si>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</si>
  <si>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</si>
  <si>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</si>
  <si>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</si>
  <si>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</si>
  <si>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</si>
  <si>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</si>
  <si>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</si>
  <si>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</si>
  <si>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</si>
  <si>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</si>
  <si>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</si>
  <si>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</si>
  <si>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</si>
  <si>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</si>
  <si>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</si>
  <si>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</si>
  <si>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</si>
  <si>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</si>
  <si>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</si>
  <si>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</si>
  <si>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</si>
  <si>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</si>
  <si>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</si>
  <si>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</si>
  <si>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</si>
  <si>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</si>
  <si>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</si>
  <si>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</si>
  <si>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</si>
  <si>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</si>
  <si>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</si>
  <si>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</si>
  <si>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</si>
  <si>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</si>
  <si>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</si>
  <si>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</si>
  <si>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</si>
  <si>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</si>
  <si>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</si>
  <si>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</si>
  <si>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</si>
  <si>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</si>
  <si>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</si>
  <si>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</si>
  <si>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</si>
  <si>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</si>
  <si>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</si>
  <si>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</si>
  <si>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</si>
  <si>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</si>
  <si>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</si>
  <si>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</si>
  <si>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</si>
  <si>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</si>
  <si>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</si>
  <si>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</si>
  <si>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</si>
  <si>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</si>
  <si>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</si>
  <si>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</si>
  <si>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</si>
  <si>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</si>
  <si>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</si>
  <si>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</si>
  <si>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</si>
  <si>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</si>
  <si>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</si>
  <si>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</si>
  <si>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</si>
  <si>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</si>
  <si>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</si>
  <si>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</si>
  <si>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</si>
  <si>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</si>
  <si>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</si>
  <si>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</si>
  <si>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</si>
  <si>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</si>
  <si>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</si>
  <si>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</si>
  <si>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</si>
  <si>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</si>
  <si>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</si>
  <si>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</si>
  <si>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</si>
  <si>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</si>
  <si>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</si>
  <si>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</si>
  <si>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</si>
  <si>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</si>
  <si>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</si>
  <si>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</si>
  <si>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</si>
  <si>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</si>
  <si>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</si>
  <si>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</si>
  <si>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</si>
  <si>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</si>
  <si>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</si>
  <si>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</si>
  <si>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</si>
  <si>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</si>
  <si>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</si>
  <si>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</si>
  <si>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</si>
  <si>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</si>
  <si>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</si>
  <si>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</si>
  <si>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</si>
  <si>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</si>
  <si>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</si>
  <si>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</si>
  <si>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</si>
  <si>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</si>
  <si>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</si>
  <si>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</si>
  <si>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</si>
  <si>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</si>
  <si>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</si>
  <si>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</si>
  <si>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</si>
  <si>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</si>
  <si>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</si>
  <si>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</si>
  <si>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</si>
  <si>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</si>
  <si>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</si>
  <si>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</si>
  <si>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</si>
  <si>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</si>
  <si>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</si>
  <si>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</si>
  <si>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</si>
  <si>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</si>
  <si>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</si>
  <si>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</si>
  <si>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</si>
  <si>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</si>
  <si>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</si>
  <si>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</si>
  <si>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</si>
  <si>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</si>
  <si>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</si>
  <si>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</si>
  <si>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</si>
  <si>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</si>
  <si>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</si>
  <si>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</si>
  <si>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</si>
  <si>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</si>
  <si>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</si>
  <si>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</si>
  <si>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</si>
  <si>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</si>
  <si>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</si>
  <si>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</si>
  <si>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</si>
  <si>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</si>
  <si>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</si>
  <si>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</si>
  <si>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</si>
  <si>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</si>
  <si>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</si>
  <si>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</si>
  <si>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</si>
  <si>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</si>
  <si>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</si>
  <si>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</si>
  <si>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</si>
  <si>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</si>
  <si>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</si>
  <si>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</si>
  <si>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</si>
  <si>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</si>
  <si>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</si>
  <si>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</si>
  <si>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</si>
  <si>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</si>
  <si>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</si>
  <si>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</si>
  <si>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</si>
  <si>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</si>
  <si>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</si>
  <si>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</si>
  <si>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</si>
  <si>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</si>
  <si>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</si>
  <si>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</si>
  <si>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</si>
  <si>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</si>
  <si>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</si>
  <si>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</si>
  <si>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</si>
  <si>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</si>
  <si>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</si>
  <si>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</si>
  <si>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</si>
  <si>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</si>
  <si>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</si>
  <si>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</si>
  <si>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</si>
  <si>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</si>
  <si>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</si>
  <si>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</si>
  <si>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</si>
  <si>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</si>
  <si>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</si>
  <si>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</si>
  <si>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</si>
  <si>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</si>
  <si>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</si>
  <si>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</si>
  <si>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</si>
  <si>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</si>
  <si>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</si>
  <si>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</si>
  <si>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</si>
  <si>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</si>
  <si>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</si>
  <si>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</si>
  <si>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</si>
  <si>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</si>
  <si>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</si>
  <si>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</si>
  <si>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</si>
  <si>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</si>
  <si>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</si>
  <si>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</si>
  <si>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</si>
  <si>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</si>
  <si>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</si>
  <si>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</si>
  <si>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</si>
  <si>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</si>
  <si>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</si>
  <si>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</si>
  <si>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</si>
  <si>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</si>
  <si>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</si>
  <si>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</si>
  <si>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</si>
  <si>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</si>
  <si>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</si>
  <si>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</si>
  <si>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</si>
  <si>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</si>
  <si>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</si>
  <si>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</si>
  <si>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</si>
  <si>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</si>
  <si>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</si>
  <si>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</si>
  <si>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</si>
  <si>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</si>
  <si>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</si>
  <si>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</si>
  <si>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</si>
  <si>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</si>
  <si>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</si>
  <si>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</si>
  <si>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</si>
  <si>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</si>
  <si>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</si>
  <si>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</si>
  <si>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</si>
  <si>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</si>
  <si>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</si>
  <si>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</si>
  <si>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</si>
  <si>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</si>
  <si>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</si>
  <si>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</si>
  <si>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</si>
  <si>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</si>
  <si>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</si>
  <si>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</si>
  <si>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</si>
  <si>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</si>
  <si>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</si>
  <si>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</si>
  <si>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</si>
  <si>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</si>
  <si>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</si>
  <si>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</si>
  <si>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</si>
  <si>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</si>
  <si>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</si>
  <si>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</si>
  <si>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</si>
  <si>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</si>
  <si>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</si>
  <si>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</si>
  <si>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</si>
  <si>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</si>
  <si>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</si>
  <si>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</si>
  <si>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</si>
  <si>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</si>
  <si>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</si>
  <si>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</si>
  <si>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</si>
  <si>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</si>
  <si>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</si>
  <si>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</si>
  <si>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</si>
  <si>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</si>
  <si>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</si>
  <si>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</si>
  <si>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</si>
  <si>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</si>
  <si>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</si>
  <si>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</si>
  <si>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</si>
  <si>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</si>
  <si>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</si>
  <si>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</si>
  <si>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</si>
  <si>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</si>
  <si>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</si>
  <si>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</si>
  <si>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</si>
  <si>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</si>
  <si>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</si>
  <si>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</si>
  <si>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</si>
  <si>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</si>
  <si>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</si>
  <si>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</si>
  <si>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</si>
  <si>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</si>
  <si>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</si>
  <si>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</si>
  <si>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</si>
  <si>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</si>
  <si>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</si>
  <si>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</si>
  <si>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</si>
  <si>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</si>
  <si>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</si>
  <si>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</si>
  <si>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</si>
  <si>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</si>
  <si>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</si>
  <si>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</si>
  <si>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</si>
  <si>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</si>
  <si>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</si>
  <si>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</si>
  <si>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</si>
  <si>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</si>
  <si>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</si>
  <si>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</si>
  <si>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</si>
  <si>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</si>
  <si>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</si>
  <si>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</si>
  <si>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</si>
  <si>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</si>
  <si>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</si>
  <si>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</si>
  <si>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</si>
  <si>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</si>
  <si>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</si>
  <si>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</si>
  <si>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</si>
  <si>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</si>
  <si>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</si>
  <si>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</si>
  <si>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</si>
  <si>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</si>
  <si>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</si>
  <si>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</si>
  <si>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</si>
  <si>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</si>
  <si>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</si>
  <si>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</si>
  <si>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</si>
  <si>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</si>
  <si>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</si>
  <si>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</si>
  <si>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</si>
  <si>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</si>
  <si>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</si>
  <si>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</si>
  <si>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</si>
  <si>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</si>
  <si>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</si>
  <si>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</si>
  <si>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</si>
  <si>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</si>
  <si>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</si>
  <si>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</si>
  <si>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</si>
  <si>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</si>
  <si>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</si>
  <si>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</si>
  <si>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</si>
  <si>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</si>
  <si>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</si>
  <si>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</si>
  <si>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</si>
  <si>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</si>
  <si>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</si>
  <si>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</si>
  <si>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</si>
  <si>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</si>
  <si>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</si>
  <si>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</si>
  <si>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</si>
  <si>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</si>
  <si>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</si>
  <si>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</si>
  <si>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</si>
  <si>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</si>
  <si>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</si>
  <si>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</si>
  <si>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</si>
  <si>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</si>
  <si>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</si>
  <si>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</si>
  <si>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</si>
  <si>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</si>
  <si>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</si>
  <si>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</si>
  <si>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</si>
  <si>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</si>
  <si>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</si>
  <si>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</si>
  <si>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</si>
  <si>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</si>
  <si>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</si>
  <si>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</si>
  <si>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</si>
  <si>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</si>
  <si>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</si>
  <si>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</si>
  <si>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</si>
  <si>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</si>
  <si>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</si>
  <si>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</si>
  <si>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</si>
  <si>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</si>
  <si>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</si>
  <si>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</si>
  <si>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</si>
  <si>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</si>
  <si>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</si>
  <si>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</si>
  <si>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</si>
  <si>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</si>
  <si>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</si>
  <si>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</si>
  <si>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</si>
  <si>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</si>
  <si>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</si>
  <si>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</si>
  <si>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</si>
  <si>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</si>
  <si>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</si>
  <si>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</si>
  <si>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</si>
  <si>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</si>
  <si>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</si>
  <si>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</si>
  <si>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</si>
  <si>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</si>
  <si>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</si>
  <si>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</si>
  <si>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</si>
  <si>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</si>
  <si>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</si>
  <si>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</si>
  <si>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</si>
  <si>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</si>
  <si>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</si>
  <si>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</si>
  <si>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</si>
  <si>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</si>
  <si>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</si>
  <si>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</si>
  <si>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</si>
  <si>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</si>
  <si>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</si>
  <si>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</si>
  <si>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</si>
  <si>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</si>
  <si>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</si>
  <si>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</si>
  <si>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</si>
  <si>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</si>
  <si>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</si>
  <si>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</si>
  <si>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</si>
  <si>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</si>
  <si>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</si>
  <si>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</si>
  <si>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</si>
  <si>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</si>
  <si>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</si>
  <si>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</si>
  <si>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</si>
  <si>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</si>
  <si>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</si>
  <si>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</si>
  <si>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</si>
  <si>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</si>
  <si>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</si>
  <si>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</si>
  <si>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</si>
  <si>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</si>
  <si>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</si>
  <si>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</si>
  <si>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</si>
  <si>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</si>
  <si>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</si>
  <si>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</si>
  <si>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</si>
  <si>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</si>
  <si>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</si>
  <si>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</si>
  <si>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</si>
  <si>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</si>
  <si>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</si>
  <si>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</si>
  <si>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</si>
  <si>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</si>
  <si>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</si>
  <si>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</si>
  <si>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</si>
  <si>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</si>
  <si>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</si>
  <si>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</si>
  <si>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</si>
  <si>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</si>
  <si>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</si>
  <si>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</si>
  <si>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</si>
  <si>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</si>
  <si>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</si>
  <si>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</si>
  <si>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</si>
  <si>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</si>
  <si>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</si>
  <si>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</si>
  <si>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</si>
  <si>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</si>
  <si>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</si>
  <si>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</si>
  <si>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</si>
  <si>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</si>
  <si>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</si>
  <si>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</si>
  <si>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</si>
  <si>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</si>
  <si>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</si>
  <si>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</si>
  <si>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</si>
  <si>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</si>
  <si>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</si>
  <si>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</si>
  <si>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</si>
  <si>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</si>
  <si>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</si>
  <si>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</si>
  <si>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</si>
  <si>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</si>
  <si>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</si>
  <si>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</si>
  <si>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</si>
  <si>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</si>
  <si>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</si>
  <si>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</si>
  <si>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</si>
  <si>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</si>
  <si>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</si>
  <si>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</si>
  <si>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</si>
  <si>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</si>
  <si>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</si>
  <si>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</si>
  <si>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</si>
  <si>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</si>
  <si>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</si>
  <si>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</si>
  <si>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</si>
  <si>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</si>
  <si>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</si>
  <si>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</si>
  <si>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</si>
  <si>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</si>
  <si>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</si>
  <si>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</si>
  <si>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</si>
  <si>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</si>
  <si>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</si>
  <si>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</si>
  <si>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</si>
  <si>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</si>
  <si>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</si>
  <si>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</si>
  <si>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</si>
  <si>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</si>
  <si>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</si>
  <si>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</si>
  <si>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</si>
  <si>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</si>
  <si>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</si>
  <si>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</si>
  <si>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</si>
  <si>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</si>
  <si>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</si>
  <si>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</si>
  <si>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</si>
  <si>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</si>
  <si>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</si>
  <si>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</si>
  <si>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</si>
  <si>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</si>
  <si>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</si>
  <si>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</si>
  <si>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</si>
  <si>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</si>
  <si>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</si>
  <si>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</si>
  <si>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</si>
  <si>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</si>
  <si>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</si>
  <si>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</si>
  <si>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</si>
  <si>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</si>
  <si>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</si>
  <si>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</si>
  <si>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</si>
  <si>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</si>
  <si>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</si>
  <si>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</si>
  <si>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</si>
  <si>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</si>
  <si>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</si>
  <si>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</si>
  <si>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</si>
  <si>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</si>
  <si>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</si>
  <si>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</si>
  <si>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</si>
  <si>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</si>
  <si>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</si>
  <si>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</si>
  <si>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</si>
  <si>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</si>
  <si>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</si>
  <si>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</si>
  <si>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</si>
  <si>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</si>
  <si>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</si>
  <si>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</si>
  <si>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</si>
  <si>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</si>
  <si>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</si>
  <si>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</si>
  <si>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</si>
  <si>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</si>
  <si>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</si>
  <si>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</si>
  <si>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</si>
  <si>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</si>
  <si>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</si>
  <si>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</si>
  <si>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</si>
  <si>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</si>
  <si>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</si>
  <si>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</si>
  <si>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</si>
  <si>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</si>
  <si>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</si>
  <si>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</si>
  <si>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</si>
  <si>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</si>
  <si>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</si>
  <si>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</si>
  <si>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</si>
  <si>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</si>
  <si>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</si>
  <si>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</si>
  <si>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</si>
  <si>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</si>
  <si>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</si>
  <si>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</si>
  <si>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</si>
  <si>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</si>
  <si>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</si>
  <si>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</si>
  <si>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</si>
  <si>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</si>
  <si>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</si>
  <si>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</si>
  <si>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</si>
  <si>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</si>
  <si>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</si>
  <si>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</si>
  <si>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</si>
  <si>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</si>
  <si>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</si>
  <si>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</si>
  <si>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</si>
  <si>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</si>
  <si>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</si>
  <si>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</si>
  <si>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</si>
  <si>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</si>
  <si>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</si>
  <si>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</si>
  <si>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</si>
  <si>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</si>
  <si>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</si>
  <si>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</si>
  <si>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</si>
  <si>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</si>
  <si>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</si>
  <si>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</si>
  <si>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</si>
  <si>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</si>
  <si>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</si>
  <si>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</si>
  <si>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</si>
  <si>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</si>
  <si>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</si>
  <si>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</si>
  <si>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</si>
  <si>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</si>
  <si>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</si>
  <si>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</si>
  <si>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</si>
  <si>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</si>
  <si>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</si>
  <si>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</si>
  <si>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</si>
  <si>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</si>
  <si>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</si>
  <si>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</si>
  <si>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</si>
  <si>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</si>
  <si>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</si>
  <si>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</si>
  <si>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</si>
  <si>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</si>
  <si>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</si>
  <si>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</si>
  <si>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</si>
  <si>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</si>
  <si>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</si>
  <si>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</si>
  <si>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</si>
  <si>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</si>
  <si>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</si>
  <si>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</si>
  <si>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</si>
  <si>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</si>
  <si>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</si>
  <si>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</si>
  <si>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</si>
  <si>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</si>
  <si>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</si>
  <si>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</si>
  <si>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</si>
  <si>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</si>
  <si>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</si>
  <si>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</si>
  <si>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</si>
  <si>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</si>
  <si>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</si>
  <si>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</si>
  <si>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</si>
  <si>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</si>
  <si>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</si>
  <si>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</si>
  <si>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</si>
  <si>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</si>
  <si>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</si>
  <si>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</si>
  <si>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</si>
  <si>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</si>
  <si>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</si>
  <si>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</si>
  <si>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</si>
  <si>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</si>
  <si>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</si>
  <si>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</si>
  <si>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</si>
  <si>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</si>
  <si>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</si>
  <si>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</si>
  <si>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</si>
  <si>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</si>
  <si>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</si>
  <si>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</si>
  <si>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</si>
  <si>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</si>
  <si>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</si>
  <si>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</si>
  <si>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</si>
  <si>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</si>
  <si>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</si>
  <si>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</si>
  <si>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</si>
  <si>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</si>
  <si>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</si>
  <si>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</si>
  <si>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</si>
  <si>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</si>
  <si>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</si>
  <si>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</si>
  <si>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</si>
  <si>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</si>
  <si>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</si>
  <si>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</si>
  <si>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</si>
  <si>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</si>
  <si>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</si>
  <si>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</si>
  <si>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</si>
  <si>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</si>
  <si>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</si>
  <si>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</si>
  <si>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</si>
  <si>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</si>
  <si>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</si>
  <si>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</si>
  <si>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</si>
  <si>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</si>
  <si>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</si>
  <si>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</si>
  <si>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</si>
  <si>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</si>
  <si>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</si>
  <si>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</si>
  <si>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</si>
  <si>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</si>
  <si>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</si>
  <si>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</si>
  <si>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</si>
  <si>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</si>
  <si>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</si>
  <si>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</si>
  <si>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</si>
  <si>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</si>
  <si>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</si>
  <si>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</si>
  <si>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</si>
  <si>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</si>
  <si>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</si>
  <si>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</si>
  <si>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</si>
  <si>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</si>
  <si>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</si>
  <si>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</si>
  <si>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</si>
  <si>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</si>
  <si>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</si>
  <si>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</si>
  <si>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</si>
  <si>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</si>
  <si>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</si>
  <si>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</si>
  <si>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</si>
  <si>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</si>
  <si>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</si>
  <si>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</si>
  <si>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</si>
  <si>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</si>
  <si>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</si>
  <si>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</si>
  <si>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</si>
  <si>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</si>
  <si>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</si>
  <si>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</si>
  <si>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</si>
  <si>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</si>
  <si>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</si>
  <si>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</si>
  <si>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</si>
  <si>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</si>
  <si>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</si>
  <si>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</si>
  <si>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</si>
  <si>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</si>
  <si>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</si>
  <si>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</si>
  <si>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</si>
  <si>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</si>
  <si>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</si>
  <si>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</si>
  <si>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</si>
  <si>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</si>
  <si>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</si>
  <si>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</si>
  <si>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</si>
  <si>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</si>
  <si>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</si>
  <si>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</si>
  <si>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</si>
  <si>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</si>
  <si>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</si>
  <si>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</si>
  <si>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</si>
  <si>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</si>
  <si>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</si>
  <si>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</si>
  <si>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</si>
  <si>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</si>
  <si>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</si>
  <si>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</si>
  <si>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</si>
  <si>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</si>
  <si>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</si>
  <si>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</si>
  <si>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</si>
  <si>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</si>
  <si>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</si>
  <si>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</si>
  <si>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</si>
  <si>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</si>
  <si>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</si>
  <si>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</si>
  <si>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</si>
  <si>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</si>
  <si>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</si>
  <si>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</si>
  <si>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</si>
  <si>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</si>
  <si>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</si>
  <si>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</si>
  <si>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</si>
  <si>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</si>
  <si>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</si>
  <si>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</si>
  <si>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</si>
  <si>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</si>
  <si>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</si>
  <si>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</si>
  <si>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</si>
  <si>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</si>
  <si>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</si>
  <si>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</si>
  <si>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</si>
  <si>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</si>
  <si>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</si>
  <si>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</si>
  <si>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</si>
  <si>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</si>
  <si>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</si>
  <si>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</si>
  <si>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</si>
  <si>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</si>
  <si>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</si>
  <si>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</si>
  <si>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</si>
  <si>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</si>
  <si>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</si>
  <si>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</si>
  <si>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</si>
  <si>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</si>
  <si>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</si>
  <si>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</si>
  <si>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</si>
  <si>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</si>
  <si>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</si>
  <si>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</si>
  <si>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</si>
  <si>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</si>
  <si>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</si>
  <si>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</si>
  <si>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</si>
  <si>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</si>
  <si>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</si>
  <si>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</si>
  <si>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</si>
  <si>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</si>
  <si>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</si>
  <si>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</si>
  <si>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</si>
  <si>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</si>
  <si>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</si>
  <si>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</si>
  <si>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</si>
  <si>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</si>
  <si>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</si>
  <si>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</si>
  <si>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</si>
  <si>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</si>
  <si>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</si>
  <si>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</si>
  <si>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</si>
  <si>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</si>
  <si>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</si>
  <si>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</si>
  <si>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</si>
  <si>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</si>
  <si>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</si>
  <si>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</si>
  <si>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</si>
  <si>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</si>
  <si>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</si>
  <si>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</si>
  <si>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</si>
  <si>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</si>
  <si>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</si>
  <si>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</si>
  <si>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</si>
  <si>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</si>
  <si>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</si>
  <si>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</si>
  <si>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</si>
  <si>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</si>
  <si>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</si>
  <si>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</si>
  <si>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</si>
  <si>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</si>
  <si>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</si>
  <si>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</si>
  <si>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</si>
  <si>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</si>
  <si>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</si>
  <si>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</si>
  <si>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</si>
  <si>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</si>
  <si>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</si>
  <si>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</si>
  <si>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</si>
  <si>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</si>
  <si>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</si>
  <si>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</si>
  <si>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</si>
  <si>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</si>
  <si>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</si>
  <si>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</si>
  <si>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</si>
  <si>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</si>
  <si>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</si>
  <si>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</si>
  <si>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</si>
  <si>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</si>
  <si>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</si>
  <si>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</si>
  <si>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</si>
  <si>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</si>
  <si>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</si>
  <si>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</si>
  <si>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</si>
  <si>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</si>
  <si>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</si>
  <si>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</si>
  <si>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</si>
  <si>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</si>
  <si>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</si>
  <si>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</si>
  <si>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</si>
  <si>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</si>
  <si>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</si>
  <si>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</si>
  <si>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</si>
  <si>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</si>
  <si>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</si>
  <si>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</si>
  <si>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</si>
  <si>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</si>
  <si>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</si>
  <si>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</si>
  <si>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</si>
  <si>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</si>
  <si>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</si>
  <si>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</si>
  <si>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</si>
  <si>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</si>
  <si>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</si>
  <si>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</si>
  <si>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</si>
  <si>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</si>
  <si>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</si>
  <si>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</si>
  <si>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</si>
  <si>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</si>
  <si>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</si>
  <si>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</si>
  <si>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</si>
  <si>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</si>
  <si>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</si>
  <si>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</si>
  <si>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</si>
  <si>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</si>
  <si>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</si>
  <si>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</si>
  <si>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</si>
  <si>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</si>
  <si>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</si>
  <si>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</si>
  <si>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</si>
  <si>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</si>
  <si>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</si>
  <si>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</si>
  <si>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</si>
  <si>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</si>
  <si>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</si>
  <si>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</si>
  <si>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</si>
  <si>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</si>
  <si>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</si>
  <si>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</si>
  <si>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</si>
  <si>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</si>
  <si>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</si>
  <si>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</si>
  <si>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</si>
  <si>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</si>
  <si>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</si>
  <si>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</si>
  <si>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</si>
  <si>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</si>
  <si>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</si>
  <si>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</si>
  <si>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</si>
  <si>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</si>
  <si>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</si>
  <si>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</si>
  <si>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</si>
  <si>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</si>
  <si>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</si>
  <si>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</si>
  <si>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</si>
  <si>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</si>
  <si>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</si>
  <si>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</si>
  <si>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</si>
  <si>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</si>
  <si>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</si>
  <si>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</si>
  <si>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</si>
  <si>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</si>
  <si>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</si>
  <si>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</si>
  <si>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</si>
  <si>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</si>
  <si>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</si>
  <si>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</si>
  <si>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</si>
  <si>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</si>
  <si>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</si>
  <si>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</si>
  <si>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</si>
  <si>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</si>
  <si>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</si>
  <si>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</si>
  <si>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</si>
  <si>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</si>
  <si>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</si>
  <si>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</si>
  <si>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</si>
  <si>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</si>
  <si>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</si>
  <si>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</si>
  <si>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</si>
  <si>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</si>
  <si>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</si>
  <si>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</si>
  <si>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</si>
  <si>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</si>
  <si>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</si>
  <si>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</si>
  <si>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</si>
  <si>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</si>
  <si>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</si>
  <si>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</si>
  <si>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</si>
  <si>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</si>
  <si>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</si>
  <si>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</si>
  <si>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</si>
  <si>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</si>
  <si>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</si>
  <si>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</si>
  <si>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</si>
  <si>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</si>
  <si>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</si>
  <si>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</si>
  <si>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</si>
  <si>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</si>
  <si>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</si>
  <si>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</si>
  <si>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</si>
  <si>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</si>
  <si>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</si>
  <si>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</si>
  <si>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</si>
  <si>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</si>
  <si>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</si>
  <si>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</si>
  <si>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</si>
  <si>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</si>
  <si>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</si>
  <si>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</si>
  <si>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</si>
  <si>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</si>
  <si>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</si>
  <si>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</si>
  <si>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</si>
  <si>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</si>
  <si>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</si>
  <si>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</si>
  <si>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</si>
  <si>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</si>
  <si>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</si>
  <si>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</si>
  <si>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</si>
  <si>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</si>
  <si>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</si>
  <si>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</si>
  <si>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</si>
  <si>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</si>
  <si>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</si>
  <si>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</si>
  <si>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</si>
  <si>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</si>
  <si>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</si>
  <si>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</si>
  <si>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</si>
  <si>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</si>
  <si>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</si>
  <si>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</si>
  <si>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</si>
  <si>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</si>
  <si>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</si>
  <si>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</si>
  <si>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</si>
  <si>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</si>
  <si>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</si>
  <si>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</si>
  <si>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</si>
  <si>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</si>
  <si>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</si>
  <si>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</si>
  <si>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</si>
  <si>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</si>
  <si>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</si>
  <si>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</si>
  <si>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</si>
  <si>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</si>
  <si>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</si>
  <si>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</si>
  <si>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</si>
  <si>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</si>
  <si>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</si>
  <si>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</si>
  <si>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</si>
  <si>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</si>
  <si>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</si>
  <si>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</si>
  <si>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</si>
  <si>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</si>
  <si>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</si>
  <si>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</si>
  <si>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</si>
  <si>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</si>
  <si>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</si>
  <si>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</si>
  <si>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</si>
  <si>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</si>
  <si>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</si>
  <si>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</si>
  <si>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</si>
  <si>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</si>
  <si>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</si>
  <si>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</si>
  <si>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</si>
  <si>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</si>
  <si>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</si>
  <si>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</si>
  <si>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</si>
  <si>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</si>
  <si>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</si>
  <si>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</si>
  <si>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</si>
  <si>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</si>
  <si>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</si>
  <si>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</si>
  <si>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</si>
  <si>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</si>
  <si>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</si>
  <si>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</si>
  <si>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</si>
  <si>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</si>
  <si>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</si>
  <si>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</si>
  <si>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</si>
  <si>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</si>
  <si>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</si>
  <si>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</si>
  <si>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</si>
  <si>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</si>
  <si>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</si>
  <si>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</si>
  <si>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</si>
  <si>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</si>
  <si>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</si>
  <si>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</si>
  <si>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</si>
  <si>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</si>
  <si>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</si>
  <si>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</si>
  <si>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</si>
  <si>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</si>
  <si>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</si>
  <si>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</si>
  <si>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</si>
  <si>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</si>
  <si>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</si>
  <si>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</si>
  <si>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</si>
  <si>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</si>
  <si>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</si>
  <si>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</si>
  <si>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</si>
  <si>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</si>
  <si>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</si>
  <si>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</si>
  <si>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</si>
  <si>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</si>
  <si>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</si>
  <si>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</si>
  <si>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</si>
  <si>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</si>
  <si>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</si>
  <si>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</si>
  <si>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</si>
  <si>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</si>
  <si>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</si>
  <si>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</si>
  <si>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</si>
  <si>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</si>
  <si>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</si>
  <si>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</si>
  <si>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</si>
  <si>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</si>
  <si>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</si>
  <si>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</si>
  <si>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</si>
  <si>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</si>
  <si>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</si>
  <si>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</si>
  <si>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</si>
  <si>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</si>
  <si>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</si>
  <si>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</si>
  <si>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</si>
  <si>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</si>
  <si>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</si>
  <si>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</si>
  <si>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</si>
  <si>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</si>
  <si>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</si>
  <si>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</si>
  <si>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</si>
  <si>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</si>
  <si>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</si>
  <si>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</si>
  <si>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</si>
  <si>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</si>
  <si>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</si>
  <si>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</si>
  <si>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</si>
  <si>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</si>
  <si>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</si>
  <si>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</si>
  <si>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</si>
  <si>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</si>
  <si>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</si>
  <si>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</si>
  <si>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</si>
  <si>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</si>
  <si>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</si>
  <si>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</si>
  <si>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</si>
  <si>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</si>
  <si>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</si>
  <si>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</si>
  <si>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</si>
  <si>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</si>
  <si>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</si>
  <si>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</si>
  <si>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</si>
  <si>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</si>
  <si>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</si>
  <si>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</si>
  <si>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</si>
  <si>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</si>
  <si>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</si>
  <si>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</si>
  <si>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</si>
  <si>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</si>
  <si>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</si>
  <si>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</si>
  <si>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</si>
  <si>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</si>
  <si>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</si>
  <si>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</si>
  <si>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</si>
  <si>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</si>
  <si>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</si>
  <si>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</si>
  <si>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</si>
  <si>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</si>
  <si>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</si>
  <si>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</si>
  <si>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</si>
  <si>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</si>
  <si>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</si>
  <si>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</si>
  <si>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</si>
  <si>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</si>
  <si>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</si>
  <si>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</si>
  <si>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</si>
  <si>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</si>
  <si>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</si>
  <si>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</si>
  <si>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</si>
  <si>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</si>
  <si>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</si>
  <si>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</si>
  <si>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</si>
  <si>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</si>
  <si>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</si>
  <si>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</si>
  <si>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</si>
  <si>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</si>
  <si>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</si>
  <si>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</si>
  <si>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</si>
  <si>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</si>
  <si>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</si>
  <si>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</si>
  <si>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</si>
  <si>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</si>
  <si>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</si>
  <si>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</si>
  <si>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</si>
  <si>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</si>
  <si>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</si>
  <si>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</si>
  <si>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</si>
  <si>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</si>
  <si>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</si>
  <si>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</si>
  <si>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</si>
  <si>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</si>
  <si>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</si>
  <si>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</si>
  <si>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</si>
  <si>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</si>
  <si>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</si>
  <si>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</si>
  <si>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</si>
  <si>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</si>
  <si>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</si>
  <si>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</si>
  <si>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</si>
  <si>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</si>
  <si>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</si>
  <si>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</si>
  <si>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</si>
  <si>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</si>
  <si>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</si>
  <si>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</si>
  <si>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</si>
  <si>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</si>
  <si>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</si>
  <si>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</si>
  <si>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</si>
  <si>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</si>
  <si>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</si>
  <si>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</si>
  <si>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</si>
  <si>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</si>
  <si>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</si>
  <si>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</si>
  <si>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</si>
  <si>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</si>
  <si>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</si>
  <si>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</si>
  <si>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</si>
  <si>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</si>
  <si>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</si>
  <si>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</si>
  <si>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</si>
  <si>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</si>
  <si>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</si>
  <si>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</si>
  <si>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</si>
  <si>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</si>
  <si>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</si>
  <si>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</si>
  <si>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</si>
  <si>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</si>
  <si>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</si>
  <si>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</si>
  <si>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</si>
  <si>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</si>
  <si>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</si>
  <si>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</si>
  <si>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</si>
  <si>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</si>
  <si>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</si>
  <si>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</si>
  <si>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</si>
  <si>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</si>
  <si>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</si>
  <si>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</si>
  <si>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</si>
  <si>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</si>
  <si>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</si>
  <si>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</si>
  <si>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</si>
  <si>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</si>
  <si>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</si>
  <si>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</si>
  <si>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</si>
  <si>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</si>
  <si>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</si>
  <si>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</si>
  <si>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</si>
  <si>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</si>
  <si>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</si>
  <si>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</si>
  <si>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</si>
  <si>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</si>
  <si>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</si>
  <si>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</si>
  <si>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</si>
  <si>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</si>
  <si>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</si>
  <si>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</si>
  <si>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</si>
  <si>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</si>
  <si>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</si>
  <si>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</si>
  <si>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</si>
  <si>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</si>
  <si>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</si>
  <si>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</si>
  <si>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</si>
  <si>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</si>
  <si>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</si>
  <si>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</si>
  <si>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</si>
  <si>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</si>
  <si>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</si>
  <si>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</si>
  <si>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</si>
  <si>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</si>
  <si>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</si>
  <si>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</si>
  <si>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</si>
  <si>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</si>
  <si>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</si>
  <si>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</si>
  <si>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</si>
  <si>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</si>
  <si>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</si>
  <si>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</si>
  <si>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</si>
  <si>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</si>
  <si>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</si>
  <si>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</si>
  <si>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</si>
  <si>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</si>
  <si>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</si>
  <si>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</si>
  <si>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</si>
  <si>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</si>
  <si>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</si>
  <si>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</si>
  <si>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</si>
  <si>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</si>
  <si>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</si>
  <si>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</si>
  <si>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</si>
  <si>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</si>
  <si>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</si>
  <si>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</si>
  <si>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</si>
  <si>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</si>
  <si>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</si>
  <si>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</si>
  <si>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</si>
  <si>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</si>
  <si>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</si>
  <si>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</si>
  <si>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</si>
  <si>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</si>
  <si>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</si>
  <si>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</si>
  <si>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</si>
  <si>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</si>
  <si>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</si>
  <si>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</si>
  <si>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</si>
  <si>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</si>
  <si>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</si>
  <si>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</si>
  <si>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</si>
  <si>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</si>
  <si>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</si>
  <si>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</si>
  <si>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</si>
  <si>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</si>
  <si>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</si>
  <si>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</si>
  <si>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</si>
  <si>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</si>
  <si>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</si>
  <si>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</si>
  <si>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</si>
  <si>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</si>
  <si>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</si>
  <si>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</si>
  <si>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</si>
  <si>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</si>
  <si>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</si>
  <si>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</si>
  <si>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</si>
  <si>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</si>
  <si>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</si>
  <si>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</si>
  <si>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</si>
  <si>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</si>
  <si>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</si>
  <si>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</si>
  <si>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</si>
  <si>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</si>
  <si>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</si>
  <si>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</si>
  <si>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</si>
  <si>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</si>
  <si>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</si>
  <si>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</si>
  <si>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</si>
  <si>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</si>
  <si>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</si>
  <si>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</si>
  <si>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</si>
  <si>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</si>
  <si>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</si>
  <si>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</si>
  <si>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</si>
  <si>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</si>
  <si>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</si>
  <si>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</si>
  <si>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</si>
  <si>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</si>
  <si>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</si>
  <si>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</si>
  <si>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</si>
  <si>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</si>
  <si>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</si>
  <si>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</si>
  <si>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</si>
  <si>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</si>
  <si>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</si>
  <si>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</si>
  <si>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</si>
  <si>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</si>
  <si>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</si>
  <si>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</si>
  <si>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</si>
  <si>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</si>
  <si>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</si>
  <si>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</si>
  <si>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</si>
  <si>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</si>
  <si>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</si>
  <si>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</si>
  <si>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</si>
  <si>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</si>
  <si>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</si>
  <si>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</si>
  <si>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</si>
  <si>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</si>
  <si>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</si>
  <si>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</si>
  <si>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</si>
  <si>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</si>
  <si>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</si>
  <si>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</si>
  <si>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</si>
  <si>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</si>
  <si>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</si>
  <si>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</si>
  <si>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</si>
  <si>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</si>
  <si>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</si>
  <si>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</si>
  <si>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</si>
  <si>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</si>
  <si>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</si>
  <si>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</si>
  <si>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</si>
  <si>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</si>
  <si>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</si>
  <si>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</si>
  <si>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</si>
  <si>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</si>
  <si>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</si>
  <si>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</si>
  <si>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</si>
  <si>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</si>
  <si>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</si>
  <si>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</si>
  <si>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</si>
  <si>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</si>
  <si>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</si>
  <si>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</si>
  <si>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</si>
  <si>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</si>
  <si>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</si>
  <si>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</si>
  <si>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</si>
  <si>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</si>
  <si>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</si>
  <si>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</si>
  <si>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</si>
  <si>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</si>
  <si>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</si>
  <si>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</si>
  <si>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</si>
  <si>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</si>
  <si>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</si>
  <si>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</si>
  <si>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</si>
  <si>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</si>
  <si>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</si>
  <si>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</si>
  <si>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</si>
  <si>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</si>
  <si>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</si>
  <si>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</si>
  <si>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</si>
  <si>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</si>
  <si>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</si>
  <si>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</si>
  <si>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</si>
  <si>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</si>
  <si>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</si>
  <si>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</si>
  <si>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</si>
  <si>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</si>
  <si>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</si>
  <si>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</si>
  <si>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</si>
  <si>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</si>
  <si>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</si>
  <si>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</si>
  <si>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</si>
  <si>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</si>
  <si>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</si>
  <si>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</si>
  <si>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</si>
  <si>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</si>
  <si>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</si>
  <si>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</si>
  <si>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</si>
  <si>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</si>
  <si>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</si>
  <si>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</si>
  <si>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</si>
  <si>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</si>
  <si>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</si>
  <si>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</si>
  <si>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</si>
  <si>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</si>
  <si>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</si>
  <si>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</si>
  <si>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</si>
  <si>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</si>
  <si>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</si>
  <si>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</si>
  <si>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</si>
  <si>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</si>
  <si>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</si>
  <si>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</si>
  <si>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</si>
  <si>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</si>
  <si>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</si>
  <si>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</si>
  <si>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</si>
  <si>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</si>
  <si>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</si>
  <si>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</si>
  <si>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</si>
  <si>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</si>
  <si>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</si>
  <si>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</si>
  <si>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</si>
  <si>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</si>
  <si>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</si>
  <si>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</si>
  <si>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</si>
  <si>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</si>
  <si>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</si>
  <si>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</si>
  <si>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</si>
  <si>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</si>
  <si>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</si>
  <si>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</si>
  <si>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</si>
  <si>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</si>
  <si>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</si>
  <si>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</si>
  <si>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</si>
  <si>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</si>
  <si>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</si>
  <si>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</si>
  <si>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</si>
  <si>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</si>
  <si>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</si>
  <si>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</si>
  <si>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</si>
  <si>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</si>
  <si>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</si>
  <si>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</si>
  <si>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</si>
  <si>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</si>
  <si>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</si>
  <si>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</si>
  <si>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</si>
  <si>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</si>
  <si>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</si>
  <si>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</si>
  <si>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</si>
  <si>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</si>
  <si>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</si>
  <si>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</si>
  <si>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</si>
  <si>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</si>
  <si>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</si>
  <si>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</si>
  <si>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</si>
  <si>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</si>
  <si>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</si>
  <si>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</si>
  <si>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</si>
  <si>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</si>
  <si>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</si>
  <si>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</si>
  <si>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</si>
  <si>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</si>
  <si>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</si>
  <si>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</si>
  <si>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</si>
  <si>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</si>
  <si>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</si>
  <si>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</si>
  <si>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</si>
  <si>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</si>
  <si>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</si>
  <si>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</si>
  <si>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</si>
  <si>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</si>
  <si>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</si>
  <si>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</si>
  <si>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</si>
  <si>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</si>
  <si>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</si>
  <si>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</si>
  <si>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</si>
  <si>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</si>
  <si>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</si>
  <si>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</si>
  <si>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</si>
  <si>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</si>
  <si>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</si>
  <si>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</si>
  <si>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</si>
  <si>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</si>
  <si>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</si>
  <si>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</si>
  <si>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</si>
  <si>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</si>
  <si>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</si>
  <si>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</si>
  <si>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</si>
  <si>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</si>
  <si>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</si>
  <si>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</si>
  <si>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</si>
  <si>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</si>
  <si>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</si>
  <si>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</si>
  <si>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</si>
  <si>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</si>
  <si>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</si>
  <si>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</si>
  <si>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</si>
  <si>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</si>
  <si>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</si>
  <si>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</si>
  <si>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</si>
  <si>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</si>
  <si>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</si>
  <si>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</si>
  <si>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</si>
  <si>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</si>
  <si>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</si>
  <si>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</si>
  <si>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</si>
  <si>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</si>
  <si>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</si>
  <si>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</si>
  <si>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</si>
  <si>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</si>
  <si>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</si>
  <si>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</si>
  <si>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</si>
  <si>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</si>
  <si>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</si>
  <si>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</si>
  <si>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</si>
  <si>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</si>
  <si>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</si>
  <si>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</si>
  <si>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</si>
  <si>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</si>
  <si>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</si>
  <si>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</si>
  <si>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</si>
  <si>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</si>
  <si>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</si>
  <si>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</si>
  <si>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</si>
  <si>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</si>
  <si>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</si>
  <si>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</si>
  <si>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</si>
  <si>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</si>
  <si>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</si>
  <si>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</si>
  <si>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</si>
  <si>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</si>
  <si>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</si>
  <si>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</si>
  <si>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</si>
  <si>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</si>
  <si>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</si>
  <si>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</si>
  <si>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</si>
  <si>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</si>
  <si>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</si>
  <si>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</si>
  <si>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</si>
  <si>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</si>
  <si>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</si>
  <si>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</si>
  <si>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</si>
  <si>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</si>
  <si>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</si>
  <si>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</si>
  <si>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</si>
  <si>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</si>
  <si>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</si>
  <si>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</si>
  <si>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</si>
  <si>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</si>
  <si>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</si>
  <si>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</si>
  <si>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</si>
  <si>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</si>
  <si>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</si>
  <si>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</si>
  <si>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</si>
  <si>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</si>
  <si>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</si>
  <si>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</si>
  <si>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</si>
  <si>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</si>
  <si>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</si>
  <si>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</si>
  <si>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</si>
  <si>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</si>
  <si>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</si>
  <si>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</si>
  <si>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</si>
  <si>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</si>
  <si>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</si>
  <si>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</si>
  <si>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</si>
  <si>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</si>
  <si>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</si>
  <si>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</si>
  <si>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</si>
  <si>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</si>
  <si>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</si>
  <si>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</si>
  <si>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</si>
  <si>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</si>
  <si>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</si>
  <si>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</si>
  <si>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</si>
  <si>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</si>
  <si>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</si>
  <si>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</si>
  <si>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</si>
  <si>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</si>
  <si>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</si>
  <si>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</si>
  <si>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</si>
  <si>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</si>
  <si>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</si>
  <si>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</si>
  <si>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</si>
  <si>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</si>
  <si>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</si>
  <si>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</si>
  <si>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</si>
  <si>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</si>
  <si>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</si>
  <si>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</si>
  <si>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</si>
  <si>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</si>
  <si>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</si>
  <si>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</si>
  <si>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</si>
  <si>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</si>
  <si>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</si>
  <si>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</si>
  <si>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</si>
  <si>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</si>
  <si>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</si>
  <si>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</si>
  <si>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</si>
  <si>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</si>
  <si>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</si>
  <si>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</si>
  <si>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</si>
  <si>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</si>
  <si>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</si>
  <si>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</si>
  <si>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</si>
  <si>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</si>
  <si>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</si>
  <si>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</si>
  <si>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</si>
  <si>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</si>
  <si>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</si>
  <si>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</si>
  <si>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</si>
  <si>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</si>
  <si>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</si>
  <si>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</si>
  <si>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</si>
  <si>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</si>
  <si>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</si>
  <si>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</si>
  <si>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</si>
  <si>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</si>
  <si>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</si>
  <si>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</si>
  <si>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</si>
  <si>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</si>
  <si>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</si>
  <si>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</si>
  <si>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</si>
  <si>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</si>
  <si>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</si>
  <si>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</si>
  <si>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</si>
  <si>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</si>
  <si>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</si>
  <si>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</si>
  <si>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</si>
  <si>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</si>
  <si>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</si>
  <si>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</si>
  <si>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</si>
  <si>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</si>
  <si>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</si>
  <si>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</si>
  <si>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</si>
  <si>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</si>
  <si>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</si>
  <si>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</si>
  <si>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</si>
  <si>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</si>
  <si>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</si>
  <si>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</si>
  <si>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</si>
  <si>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</si>
  <si>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</si>
  <si>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</si>
  <si>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</si>
  <si>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</si>
  <si>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</si>
  <si>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</si>
  <si>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</si>
  <si>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</si>
  <si>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</si>
  <si>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</si>
  <si>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</si>
  <si>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</si>
  <si>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</si>
  <si>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</si>
  <si>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</si>
  <si>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</si>
  <si>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</si>
  <si>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</si>
  <si>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</si>
  <si>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</si>
  <si>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</si>
  <si>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</si>
  <si>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</si>
  <si>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</si>
  <si>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</si>
  <si>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</si>
  <si>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</si>
  <si>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</si>
  <si>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</si>
  <si>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</si>
  <si>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</si>
  <si>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</si>
  <si>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</si>
  <si>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</si>
  <si>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</si>
  <si>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</si>
  <si>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</si>
  <si>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</si>
  <si>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</si>
  <si>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</si>
  <si>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</si>
  <si>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</si>
  <si>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</si>
  <si>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</si>
  <si>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</si>
  <si>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</si>
  <si>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</si>
  <si>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</si>
  <si>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</si>
  <si>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</si>
  <si>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</si>
  <si>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</si>
  <si>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</si>
  <si>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</si>
  <si>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</si>
  <si>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</si>
  <si>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</si>
  <si>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</si>
  <si>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</si>
  <si>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</si>
  <si>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</si>
  <si>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</si>
  <si>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</si>
  <si>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</si>
  <si>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</si>
  <si>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</si>
  <si>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</si>
  <si>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</si>
  <si>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</si>
  <si>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</si>
  <si>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</si>
  <si>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</si>
  <si>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</si>
  <si>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</si>
  <si>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</si>
  <si>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</si>
  <si>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</si>
  <si>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</si>
  <si>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</si>
  <si>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</si>
  <si>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</si>
  <si>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</si>
  <si>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</si>
  <si>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</si>
  <si>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</si>
  <si>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</si>
  <si>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</si>
  <si>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</si>
  <si>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</si>
  <si>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</si>
  <si>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</si>
  <si>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</si>
  <si>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</si>
  <si>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</si>
  <si>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</si>
  <si>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</si>
  <si>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</si>
  <si>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</si>
  <si>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</si>
  <si>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</si>
  <si>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</si>
  <si>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</si>
  <si>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</si>
  <si>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</si>
  <si>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</si>
  <si>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</si>
  <si>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</si>
  <si>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</si>
  <si>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</si>
  <si>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</si>
  <si>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</si>
  <si>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</si>
  <si>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</si>
  <si>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</si>
  <si>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</si>
  <si>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</si>
  <si>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</si>
  <si>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</si>
  <si>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</si>
  <si>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</si>
  <si>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</si>
  <si>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</si>
  <si>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</si>
  <si>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</si>
  <si>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</si>
  <si>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</si>
  <si>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</si>
  <si>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</si>
  <si>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</si>
  <si>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</si>
  <si>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</si>
  <si>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</si>
  <si>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</si>
  <si>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</si>
  <si>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</si>
  <si>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</si>
  <si>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</si>
  <si>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</si>
  <si>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</si>
  <si>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</si>
  <si>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</si>
  <si>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</si>
  <si>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</si>
  <si>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</si>
  <si>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</si>
  <si>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</si>
  <si>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</si>
  <si>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</si>
  <si>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</si>
  <si>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</si>
  <si>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</si>
  <si>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</si>
  <si>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</si>
  <si>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</si>
  <si>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</si>
  <si>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</si>
  <si>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</si>
  <si>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</si>
  <si>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</si>
  <si>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</si>
  <si>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</si>
  <si>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</si>
  <si>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</si>
  <si>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</si>
  <si>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</si>
  <si>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</si>
  <si>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</si>
  <si>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</si>
  <si>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</si>
  <si>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</si>
  <si>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</si>
  <si>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</si>
  <si>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</si>
  <si>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</si>
  <si>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</si>
  <si>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</si>
  <si>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</si>
  <si>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</si>
  <si>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</si>
  <si>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</si>
  <si>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</si>
  <si>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</si>
  <si>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</si>
  <si>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</si>
  <si>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</si>
  <si>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</si>
  <si>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</si>
  <si>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</si>
  <si>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</si>
  <si>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</si>
  <si>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</si>
  <si>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</si>
  <si>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</si>
  <si>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</si>
  <si>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</si>
  <si>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</si>
  <si>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</si>
  <si>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</si>
  <si>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</si>
  <si>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</si>
  <si>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</si>
  <si>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</si>
  <si>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</si>
  <si>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</si>
  <si>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</si>
  <si>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</si>
  <si>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</si>
  <si>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</si>
  <si>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</si>
  <si>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</si>
  <si>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</si>
  <si>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</si>
  <si>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</si>
  <si>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</si>
  <si>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</si>
  <si>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</si>
  <si>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</si>
  <si>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</si>
  <si>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</si>
  <si>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</si>
  <si>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</si>
  <si>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</si>
  <si>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</si>
  <si>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</si>
  <si>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</si>
  <si>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</si>
  <si>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</si>
  <si>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</si>
  <si>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</si>
  <si>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</si>
  <si>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</si>
  <si>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</si>
  <si>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</si>
  <si>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</si>
  <si>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</si>
  <si>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</si>
  <si>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</si>
  <si>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</si>
  <si>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</si>
  <si>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</si>
  <si>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</si>
  <si>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</si>
  <si>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</si>
  <si>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</si>
  <si>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</si>
  <si>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</si>
  <si>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</si>
  <si>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</si>
  <si>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</si>
  <si>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</si>
  <si>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</si>
  <si>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</si>
  <si>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</si>
  <si>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</si>
  <si>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</si>
  <si>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</si>
  <si>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</si>
  <si>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</si>
  <si>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</si>
  <si>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</si>
  <si>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</si>
  <si>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</si>
  <si>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</si>
  <si>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</si>
  <si>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</si>
  <si>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</si>
  <si>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</si>
  <si>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</si>
  <si>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</si>
  <si>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</si>
  <si>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</si>
  <si>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</si>
  <si>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</si>
  <si>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</si>
  <si>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</si>
  <si>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</si>
  <si>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</si>
  <si>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</si>
  <si>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</si>
  <si>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</si>
  <si>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</si>
  <si>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</si>
  <si>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</si>
  <si>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</si>
  <si>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</si>
  <si>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</si>
  <si>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</si>
  <si>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</si>
  <si>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</si>
  <si>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</si>
  <si>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</si>
  <si>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</si>
  <si>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</si>
  <si>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</si>
  <si>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</si>
  <si>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</si>
  <si>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</si>
  <si>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</si>
  <si>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</si>
  <si>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</si>
  <si>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</si>
  <si>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</si>
  <si>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</si>
  <si>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</si>
  <si>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</si>
  <si>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</si>
  <si>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</si>
  <si>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</si>
  <si>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</si>
  <si>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</si>
  <si>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</si>
  <si>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</si>
  <si>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</si>
  <si>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</si>
  <si>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</si>
  <si>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</si>
  <si>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</si>
  <si>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</si>
  <si>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</si>
  <si>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</si>
  <si>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</si>
  <si>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</si>
  <si>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</si>
  <si>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</si>
  <si>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</si>
  <si>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</si>
  <si>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</si>
  <si>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</si>
  <si>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</si>
  <si>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</si>
  <si>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</si>
  <si>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</si>
  <si>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</si>
  <si>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</si>
  <si>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</si>
  <si>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</si>
  <si>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</si>
  <si>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</si>
  <si>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</si>
  <si>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</si>
  <si>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</si>
  <si>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</si>
  <si>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</si>
  <si>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</si>
  <si>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</si>
  <si>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</si>
  <si>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</si>
  <si>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</si>
  <si>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</si>
  <si>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</si>
  <si>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</si>
  <si>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</si>
  <si>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</si>
  <si>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</si>
  <si>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</si>
  <si>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</si>
  <si>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</si>
  <si>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</si>
  <si>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</si>
  <si>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</si>
  <si>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</si>
  <si>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</si>
  <si>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</si>
  <si>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</si>
  <si>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</si>
  <si>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</si>
  <si>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</si>
  <si>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</si>
  <si>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</si>
  <si>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</si>
  <si>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</si>
  <si>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</si>
  <si>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</si>
  <si>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</si>
  <si>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</si>
  <si>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</si>
  <si>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</si>
  <si>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</si>
  <si>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</si>
  <si>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</si>
  <si>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</si>
  <si>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</si>
  <si>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</si>
  <si>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</si>
  <si>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</si>
  <si>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</si>
  <si>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</si>
  <si>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</si>
  <si>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</si>
  <si>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</si>
  <si>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</si>
  <si>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</si>
  <si>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</si>
  <si>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</si>
  <si>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</si>
  <si>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</si>
  <si>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</si>
  <si>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</si>
  <si>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</si>
  <si>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</si>
  <si>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</si>
  <si>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</si>
  <si>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</si>
  <si>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</si>
  <si>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</si>
  <si>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</si>
  <si>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</si>
  <si>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</si>
  <si>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</si>
  <si>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</si>
  <si>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</si>
  <si>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</si>
  <si>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</si>
  <si>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</si>
  <si>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</si>
  <si>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</si>
  <si>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</si>
  <si>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</si>
  <si>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</si>
  <si>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</si>
  <si>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</si>
  <si>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</si>
  <si>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</si>
  <si>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</si>
  <si>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</si>
  <si>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</si>
  <si>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</si>
  <si>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</si>
  <si>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</si>
  <si>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</si>
  <si>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</si>
  <si>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</si>
  <si>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</si>
  <si>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</si>
  <si>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</si>
  <si>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</si>
  <si>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</si>
  <si>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</si>
  <si>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</si>
  <si>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</si>
  <si>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</si>
  <si>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</si>
  <si>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</si>
  <si>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</si>
  <si>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</si>
  <si>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</si>
  <si>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</si>
  <si>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</si>
  <si>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</si>
  <si>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</si>
  <si>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</si>
  <si>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</si>
  <si>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</si>
  <si>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</si>
  <si>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</si>
  <si>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</si>
  <si>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</si>
  <si>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</si>
  <si>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</si>
  <si>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</si>
  <si>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</si>
  <si>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</si>
  <si>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</si>
  <si>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</si>
  <si>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</si>
  <si>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</si>
  <si>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</si>
  <si>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</si>
  <si>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</si>
  <si>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</si>
  <si>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</si>
  <si>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</si>
  <si>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</si>
  <si>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</si>
  <si>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</si>
  <si>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</si>
  <si>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</si>
  <si>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</si>
  <si>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</si>
  <si>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</si>
  <si>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</si>
  <si>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</si>
  <si>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</si>
  <si>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</si>
  <si>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</si>
  <si>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</si>
  <si>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</si>
  <si>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</si>
  <si>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</si>
  <si>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</si>
  <si>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</si>
  <si>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</si>
  <si>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</si>
  <si>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</si>
  <si>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</si>
  <si>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</si>
  <si>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</si>
  <si>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</si>
  <si>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</si>
  <si>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</si>
  <si>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</si>
  <si>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</si>
  <si>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</si>
  <si>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</si>
  <si>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</si>
  <si>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</si>
  <si>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</si>
  <si>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</si>
  <si>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</si>
  <si>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</si>
  <si>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</si>
  <si>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</si>
  <si>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</si>
  <si>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</si>
  <si>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</si>
  <si>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</si>
  <si>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</si>
  <si>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</si>
  <si>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</si>
  <si>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</si>
  <si>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</si>
  <si>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</si>
  <si>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</si>
  <si>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</si>
  <si>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</si>
  <si>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</si>
  <si>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</si>
  <si>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</si>
  <si>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</si>
  <si>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</si>
  <si>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</si>
  <si>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</si>
  <si>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</si>
  <si>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</si>
  <si>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</si>
  <si>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</si>
  <si>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</si>
  <si>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</si>
  <si>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</si>
  <si>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</si>
  <si>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</si>
  <si>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</si>
  <si>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</si>
  <si>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</si>
  <si>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</si>
  <si>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</si>
  <si>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</si>
  <si>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</si>
  <si>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</si>
  <si>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</si>
  <si>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</si>
  <si>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</si>
  <si>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</si>
  <si>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</si>
  <si>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</si>
  <si>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</si>
  <si>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</si>
  <si>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</si>
  <si>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</si>
  <si>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</si>
  <si>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</si>
  <si>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</si>
  <si>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</si>
  <si>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</si>
  <si>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</si>
  <si>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</si>
  <si>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</si>
  <si>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</si>
  <si>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</si>
  <si>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</si>
  <si>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</si>
  <si>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</si>
  <si>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</si>
  <si>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</si>
  <si>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</si>
  <si>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</si>
  <si>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</si>
  <si>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</si>
  <si>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</si>
  <si>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</si>
  <si>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</si>
  <si>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</si>
  <si>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</si>
  <si>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</si>
  <si>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</si>
  <si>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</si>
  <si>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</si>
  <si>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</si>
  <si>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</si>
  <si>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</si>
  <si>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</si>
  <si>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</si>
  <si>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</si>
  <si>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</si>
  <si>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</si>
  <si>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</si>
  <si>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</si>
  <si>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</si>
  <si>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</si>
  <si>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</si>
  <si>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</si>
  <si>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</si>
  <si>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</si>
  <si>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</si>
  <si>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</si>
  <si>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</si>
  <si>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</si>
  <si>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</si>
  <si>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</si>
  <si>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</si>
  <si>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</si>
  <si>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</si>
  <si>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</si>
  <si>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</si>
  <si>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</si>
  <si>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</si>
  <si>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</si>
  <si>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</si>
  <si>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</si>
  <si>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</si>
  <si>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</si>
  <si>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</si>
  <si>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</si>
  <si>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</si>
  <si>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</si>
  <si>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</si>
  <si>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</si>
  <si>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</si>
  <si>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</si>
  <si>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</si>
  <si>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</si>
  <si>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</si>
  <si>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</si>
  <si>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</si>
  <si>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</si>
  <si>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</si>
  <si>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</si>
  <si>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</si>
  <si>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</si>
  <si>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</si>
  <si>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</si>
  <si>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</si>
  <si>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</si>
  <si>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</si>
  <si>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</si>
  <si>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</si>
  <si>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</si>
  <si>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</si>
  <si>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</si>
  <si>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</si>
  <si>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</si>
  <si>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</si>
  <si>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</si>
  <si>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</si>
  <si>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</si>
  <si>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</si>
  <si>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</si>
  <si>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</si>
  <si>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</si>
  <si>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</si>
  <si>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</si>
  <si>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</si>
  <si>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</si>
  <si>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</si>
  <si>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</si>
  <si>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</si>
  <si>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</si>
  <si>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</si>
  <si>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</si>
  <si>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</si>
  <si>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</si>
  <si>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</si>
  <si>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</si>
  <si>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</si>
  <si>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</si>
  <si>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</si>
  <si>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</si>
  <si>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</si>
  <si>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</si>
  <si>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</si>
  <si>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</si>
  <si>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</si>
  <si>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</si>
  <si>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</si>
  <si>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</si>
  <si>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</si>
  <si>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</si>
  <si>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</si>
  <si>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</si>
  <si>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</si>
  <si>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</si>
  <si>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</si>
  <si>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</si>
  <si>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</si>
  <si>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</si>
  <si>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</si>
  <si>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</si>
  <si>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</si>
  <si>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</si>
  <si>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</si>
  <si>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</si>
  <si>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</si>
  <si>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</si>
  <si>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</si>
  <si>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</si>
  <si>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</si>
  <si>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</si>
  <si>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</si>
  <si>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</si>
  <si>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</si>
  <si>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</si>
  <si>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</si>
  <si>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</si>
  <si>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</si>
  <si>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</si>
  <si>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</si>
  <si>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</si>
  <si>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</si>
  <si>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</si>
  <si>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</si>
  <si>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</si>
  <si>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</si>
  <si>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</si>
  <si>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</si>
  <si>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</si>
  <si>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</si>
  <si>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</si>
  <si>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</si>
  <si>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</si>
  <si>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</si>
  <si>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</si>
  <si>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</si>
  <si>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</si>
  <si>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</si>
  <si>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</si>
  <si>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</si>
  <si>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</si>
  <si>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</si>
  <si>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</si>
  <si>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</si>
  <si>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</si>
  <si>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</si>
  <si>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</si>
  <si>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</si>
  <si>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</si>
  <si>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</si>
  <si>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</si>
  <si>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</si>
  <si>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</si>
  <si>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</si>
  <si>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</si>
  <si>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</si>
  <si>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</si>
  <si>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</si>
  <si>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</si>
  <si>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</si>
  <si>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</si>
  <si>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</si>
  <si>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</si>
  <si>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</si>
  <si>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</si>
  <si>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</si>
  <si>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</si>
  <si>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</si>
  <si>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</si>
  <si>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</si>
  <si>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</si>
  <si>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</si>
  <si>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</si>
  <si>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</si>
  <si>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</si>
  <si>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</si>
  <si>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</si>
  <si>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</si>
  <si>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</si>
  <si>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</si>
  <si>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</si>
  <si>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</si>
  <si>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</si>
  <si>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</si>
  <si>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</si>
  <si>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</si>
  <si>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</si>
  <si>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</si>
  <si>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</si>
  <si>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</si>
  <si>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</si>
  <si>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</si>
  <si>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</si>
  <si>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</si>
  <si>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</si>
  <si>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</si>
  <si>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</si>
  <si>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</si>
  <si>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</si>
  <si>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</si>
  <si>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</si>
  <si>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</si>
  <si>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</si>
  <si>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</si>
  <si>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</si>
  <si>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</si>
  <si>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</si>
  <si>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</si>
  <si>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</si>
  <si>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</si>
  <si>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</si>
  <si>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</si>
  <si>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</si>
  <si>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</si>
  <si>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</si>
  <si>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</si>
  <si>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</si>
  <si>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</si>
  <si>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</si>
  <si>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</si>
  <si>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</si>
  <si>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</si>
  <si>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</si>
  <si>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</si>
  <si>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</si>
  <si>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</si>
  <si>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</si>
  <si>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</si>
  <si>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</si>
  <si>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</si>
  <si>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</si>
  <si>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</si>
  <si>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</si>
  <si>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</si>
  <si>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</si>
  <si>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</si>
  <si>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</si>
  <si>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</si>
  <si>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</si>
  <si>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</si>
  <si>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</si>
  <si>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</si>
  <si>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</si>
  <si>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</si>
  <si>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</si>
  <si>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</si>
  <si>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</si>
  <si>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</si>
  <si>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</si>
  <si>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</si>
  <si>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</si>
  <si>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</si>
  <si>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</si>
  <si>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</si>
  <si>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</si>
  <si>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</si>
  <si>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</si>
  <si>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</si>
  <si>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</si>
  <si>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</si>
  <si>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</si>
  <si>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</si>
  <si>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</si>
  <si>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</si>
  <si>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</si>
  <si>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</si>
  <si>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</si>
  <si>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</si>
  <si>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</si>
  <si>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</si>
  <si>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</si>
  <si>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</si>
  <si>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</si>
  <si>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</si>
  <si>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</si>
  <si>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</si>
  <si>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</si>
  <si>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</si>
  <si>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</si>
  <si>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</si>
  <si>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</si>
  <si>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</si>
  <si>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</si>
  <si>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</si>
  <si>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</si>
  <si>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</si>
  <si>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</si>
  <si>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</si>
  <si>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</si>
  <si>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</si>
  <si>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</si>
  <si>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</si>
  <si>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</si>
  <si>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</si>
  <si>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</si>
  <si>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</si>
  <si>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</si>
  <si>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</si>
  <si>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</si>
  <si>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</si>
  <si>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</si>
  <si>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</si>
  <si>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</si>
  <si>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</si>
  <si>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</si>
  <si>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</si>
  <si>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</si>
  <si>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</si>
  <si>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</si>
  <si>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</si>
  <si>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</si>
  <si>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</si>
  <si>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</si>
  <si>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</si>
  <si>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</si>
  <si>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</si>
  <si>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</si>
  <si>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</si>
  <si>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</si>
  <si>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</si>
  <si>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</si>
  <si>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</si>
  <si>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</si>
  <si>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</si>
  <si>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</si>
  <si>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</si>
  <si>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</si>
  <si>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</si>
  <si>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</si>
  <si>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</si>
  <si>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</si>
  <si>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</si>
  <si>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</si>
  <si>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</si>
  <si>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</si>
  <si>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</si>
  <si>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</si>
  <si>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</si>
  <si>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</si>
  <si>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</si>
  <si>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</si>
  <si>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</si>
  <si>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</si>
  <si>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</si>
  <si>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</si>
  <si>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</si>
  <si>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</si>
  <si>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</si>
  <si>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</si>
  <si>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</si>
  <si>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</si>
  <si>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</si>
  <si>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</si>
  <si>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</si>
  <si>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</si>
  <si>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</si>
  <si>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</si>
  <si>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</si>
  <si>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</si>
  <si>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</si>
  <si>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</si>
  <si>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</si>
  <si>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</si>
  <si>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</si>
  <si>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</si>
  <si>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</si>
  <si>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</si>
  <si>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</si>
  <si>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</si>
  <si>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</si>
  <si>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</si>
  <si>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</si>
  <si>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</si>
  <si>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</si>
  <si>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</si>
  <si>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</si>
  <si>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</si>
  <si>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</si>
  <si>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</si>
  <si>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</si>
  <si>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</si>
  <si>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</si>
  <si>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</si>
  <si>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</si>
  <si>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</si>
  <si>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</si>
  <si>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</si>
  <si>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</si>
  <si>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</si>
  <si>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</si>
  <si>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</si>
  <si>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</si>
  <si>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</si>
  <si>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</si>
  <si>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</si>
  <si>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</si>
  <si>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</si>
  <si>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</si>
  <si>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</si>
  <si>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</si>
  <si>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</si>
  <si>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</si>
  <si>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</si>
  <si>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</si>
  <si>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</si>
  <si>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</si>
  <si>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</si>
  <si>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</si>
  <si>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</si>
  <si>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</si>
  <si>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</si>
  <si>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</si>
  <si>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</si>
  <si>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</si>
  <si>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</si>
  <si>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</si>
  <si>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</si>
  <si>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</si>
  <si>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</si>
  <si>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</si>
  <si>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</si>
  <si>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</si>
  <si>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</si>
  <si>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</si>
  <si>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</si>
  <si>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</si>
  <si>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</si>
  <si>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</si>
  <si>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</si>
  <si>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</si>
  <si>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</si>
  <si>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</si>
  <si>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</si>
  <si>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</si>
  <si>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</si>
  <si>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</si>
  <si>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</si>
  <si>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</si>
  <si>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</si>
  <si>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</si>
  <si>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</si>
  <si>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</si>
  <si>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</si>
  <si>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</si>
  <si>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</si>
  <si>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</si>
  <si>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</si>
  <si>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</si>
  <si>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</si>
  <si>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</si>
  <si>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</si>
  <si>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</si>
  <si>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</si>
  <si>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</si>
  <si>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</si>
  <si>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</si>
  <si>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</si>
  <si>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</si>
  <si>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</si>
  <si>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</si>
  <si>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</si>
  <si>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</si>
  <si>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</si>
  <si>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</si>
  <si>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</si>
  <si>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</si>
  <si>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</si>
  <si>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</si>
  <si>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</si>
  <si>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</si>
  <si>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</si>
  <si>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</si>
  <si>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</si>
  <si>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</si>
  <si>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</si>
  <si>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</si>
  <si>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</si>
  <si>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</si>
  <si>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</si>
  <si>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</si>
  <si>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</si>
  <si>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</si>
  <si>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</si>
  <si>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</si>
  <si>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</si>
  <si>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</si>
  <si>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</si>
  <si>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</si>
  <si>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</si>
  <si>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</si>
  <si>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</si>
  <si>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</si>
  <si>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</si>
  <si>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</si>
  <si>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</si>
  <si>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</si>
  <si>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</si>
  <si>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</si>
  <si>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</si>
  <si>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</si>
  <si>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</si>
  <si>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</si>
  <si>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</si>
  <si>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</si>
  <si>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</si>
  <si>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</si>
  <si>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</si>
  <si>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</si>
  <si>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</si>
  <si>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</si>
  <si>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</si>
  <si>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</si>
  <si>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</si>
  <si>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</si>
  <si>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</si>
  <si>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</si>
  <si>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</si>
  <si>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</si>
  <si>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</si>
  <si>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</si>
  <si>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</si>
  <si>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</si>
  <si>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</si>
  <si>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</si>
  <si>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</si>
  <si>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</si>
  <si>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</si>
  <si>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</si>
  <si>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</si>
  <si>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</si>
  <si>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</si>
  <si>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</si>
  <si>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</si>
  <si>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</si>
  <si>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</si>
  <si>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</si>
  <si>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</si>
  <si>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</si>
  <si>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</si>
  <si>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</si>
  <si>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</si>
  <si>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</si>
  <si>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</si>
  <si>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</si>
  <si>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</si>
  <si>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</si>
  <si>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</si>
  <si>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</si>
  <si>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</si>
  <si>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</si>
  <si>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</si>
  <si>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</si>
  <si>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</si>
  <si>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</si>
  <si>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</si>
  <si>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</si>
  <si>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</si>
  <si>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</si>
  <si>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</si>
  <si>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</si>
  <si>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</si>
  <si>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</si>
  <si>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</si>
  <si>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</si>
  <si>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</si>
  <si>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</si>
  <si>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</si>
  <si>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</si>
  <si>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</si>
  <si>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</si>
  <si>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</si>
  <si>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</si>
  <si>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</si>
  <si>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</si>
  <si>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</si>
  <si>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</si>
  <si>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</si>
  <si>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</si>
  <si>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</si>
  <si>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</si>
  <si>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</si>
  <si>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</si>
  <si>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</si>
  <si>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</si>
  <si>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</si>
  <si>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</si>
  <si>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</si>
  <si>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</si>
  <si>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</si>
  <si>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</si>
  <si>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</si>
  <si>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</si>
  <si>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</si>
  <si>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</si>
  <si>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</si>
  <si>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</si>
  <si>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</si>
  <si>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</si>
  <si>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</si>
  <si>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</si>
  <si>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</si>
  <si>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</si>
  <si>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</si>
  <si>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</si>
  <si>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</si>
  <si>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</si>
  <si>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</si>
  <si>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</si>
  <si>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</si>
  <si>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</si>
  <si>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</si>
  <si>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</si>
  <si>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</si>
  <si>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</si>
  <si>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</si>
  <si>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</si>
  <si>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</si>
  <si>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</si>
  <si>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</si>
  <si>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</si>
  <si>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</si>
  <si>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</si>
  <si>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</si>
  <si>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</si>
  <si>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</si>
  <si>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</si>
  <si>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</si>
  <si>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</si>
  <si>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</si>
  <si>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</si>
  <si>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</si>
  <si>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</si>
  <si>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</si>
  <si>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</si>
  <si>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</si>
  <si>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</si>
  <si>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</si>
  <si>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</si>
  <si>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</si>
  <si>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</si>
  <si>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</si>
  <si>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</si>
  <si>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</si>
  <si>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</si>
  <si>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</si>
  <si>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</si>
  <si>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</si>
  <si>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</si>
  <si>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</si>
  <si>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</si>
  <si>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</si>
  <si>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</si>
  <si>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</si>
  <si>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</si>
  <si>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</si>
  <si>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</si>
  <si>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</si>
  <si>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</si>
  <si>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</si>
  <si>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</si>
  <si>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</si>
  <si>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</si>
  <si>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</si>
  <si>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</si>
  <si>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</si>
  <si>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</si>
  <si>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</si>
  <si>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</si>
  <si>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</si>
  <si>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</si>
  <si>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</si>
  <si>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</si>
  <si>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</si>
  <si>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</si>
  <si>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</si>
  <si>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</si>
  <si>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</si>
  <si>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</si>
  <si>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</si>
  <si>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</si>
  <si>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</si>
  <si>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</si>
  <si>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</si>
  <si>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</si>
  <si>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</si>
  <si>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</si>
  <si>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</si>
  <si>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</si>
  <si>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</si>
  <si>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</si>
  <si>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</si>
  <si>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</si>
  <si>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</si>
  <si>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</si>
  <si>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</si>
  <si>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</si>
  <si>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</si>
  <si>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</si>
  <si>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</si>
  <si>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</si>
  <si>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</si>
  <si>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</si>
  <si>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</si>
  <si>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</si>
  <si>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</si>
  <si>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</si>
  <si>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</si>
  <si>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</si>
  <si>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</si>
  <si>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</si>
  <si>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</si>
  <si>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</si>
  <si>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</si>
  <si>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</si>
  <si>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</si>
  <si>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</si>
  <si>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</si>
  <si>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</si>
  <si>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</si>
  <si>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</si>
  <si>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</si>
  <si>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</si>
  <si>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</si>
  <si>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</si>
  <si>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</si>
  <si>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</si>
  <si>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</si>
  <si>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</si>
  <si>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</si>
  <si>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</si>
  <si>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</si>
  <si>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</si>
  <si>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</si>
  <si>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</si>
  <si>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</si>
  <si>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</si>
  <si>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</si>
  <si>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</si>
  <si>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</si>
  <si>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</si>
  <si>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</si>
  <si>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</si>
  <si>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</si>
  <si>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</si>
  <si>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</si>
  <si>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</si>
  <si>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</si>
  <si>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</si>
  <si>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</si>
  <si>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</si>
  <si>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</si>
  <si>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</si>
  <si>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</si>
  <si>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</si>
  <si>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</si>
  <si>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</si>
  <si>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</si>
  <si>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</si>
  <si>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</si>
  <si>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</si>
  <si>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</si>
  <si>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</si>
  <si>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</si>
  <si>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</si>
  <si>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</si>
  <si>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</si>
  <si>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</si>
  <si>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</si>
  <si>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</si>
  <si>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</si>
  <si>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</si>
  <si>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</si>
  <si>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</si>
  <si>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</si>
  <si>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</si>
  <si>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</si>
  <si>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</si>
  <si>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</si>
  <si>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</si>
  <si>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</si>
  <si>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</si>
  <si>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</si>
  <si>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</si>
  <si>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</si>
  <si>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</si>
  <si>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</si>
  <si>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</si>
  <si>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</si>
  <si>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</si>
  <si>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</si>
  <si>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</si>
  <si>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</si>
  <si>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</si>
  <si>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</si>
  <si>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</si>
  <si>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</si>
  <si>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</si>
  <si>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</si>
  <si>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</si>
  <si>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</si>
  <si>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</si>
  <si>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</si>
  <si>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</si>
  <si>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</si>
  <si>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</si>
  <si>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</si>
  <si>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</si>
  <si>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</si>
  <si>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</si>
  <si>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</si>
  <si>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</si>
  <si>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</si>
  <si>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</si>
  <si>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</si>
  <si>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</si>
  <si>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</si>
  <si>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</si>
  <si>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</si>
  <si>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</si>
  <si>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</si>
  <si>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</si>
  <si>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</si>
  <si>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</si>
  <si>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</si>
  <si>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</si>
  <si>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</si>
  <si>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</si>
  <si>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</si>
  <si>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</si>
  <si>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</si>
  <si>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</si>
  <si>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</si>
  <si>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</si>
  <si>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</si>
  <si>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</si>
  <si>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</si>
  <si>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</si>
  <si>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</si>
  <si>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</si>
  <si>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</si>
  <si>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</si>
  <si>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</si>
  <si>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</si>
  <si>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</si>
  <si>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</si>
  <si>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</si>
  <si>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</si>
  <si>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</si>
  <si>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</si>
  <si>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</si>
  <si>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</si>
  <si>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</si>
  <si>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</si>
  <si>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</si>
  <si>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</si>
  <si>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</si>
  <si>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</si>
  <si>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</si>
  <si>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</si>
  <si>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</si>
  <si>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</si>
  <si>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</si>
  <si>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</si>
  <si>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</si>
  <si>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</si>
  <si>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</si>
  <si>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</si>
  <si>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</si>
  <si>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</si>
  <si>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</si>
  <si>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</si>
  <si>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</si>
  <si>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</si>
  <si>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</si>
  <si>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</si>
  <si>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</si>
  <si>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</si>
  <si>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</si>
  <si>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</si>
  <si>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</si>
  <si>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</si>
  <si>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</si>
  <si>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</si>
  <si>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</si>
  <si>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</si>
  <si>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</si>
  <si>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</si>
  <si>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</si>
  <si>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</si>
  <si>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</si>
  <si>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</si>
  <si>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</si>
  <si>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</si>
  <si>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</si>
  <si>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</si>
  <si>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</si>
  <si>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</si>
  <si>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</si>
  <si>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</si>
  <si>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</si>
  <si>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</si>
  <si>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</si>
  <si>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</si>
  <si>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</si>
  <si>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</si>
  <si>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</si>
  <si>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</si>
  <si>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</si>
  <si>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</si>
  <si>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</si>
  <si>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</si>
  <si>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</si>
  <si>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</si>
  <si>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</si>
  <si>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</si>
  <si>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</si>
  <si>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</si>
  <si>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</si>
  <si>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</si>
  <si>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</si>
  <si>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</si>
  <si>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</si>
  <si>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</si>
  <si>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</si>
  <si>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</si>
  <si>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</si>
  <si>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</si>
  <si>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</si>
  <si>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</si>
  <si>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</si>
  <si>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</si>
  <si>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</si>
  <si>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</si>
  <si>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</si>
  <si>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</si>
  <si>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</si>
  <si>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</si>
  <si>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</si>
  <si>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</si>
  <si>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</si>
  <si>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</si>
  <si>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</si>
  <si>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</si>
  <si>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</si>
  <si>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</si>
  <si>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</si>
  <si>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</si>
  <si>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</si>
  <si>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</si>
  <si>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</si>
  <si>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</si>
  <si>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</si>
  <si>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</si>
  <si>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</si>
  <si>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</si>
  <si>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</si>
  <si>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</si>
  <si>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</si>
  <si>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</si>
  <si>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</si>
  <si>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</si>
  <si>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</si>
  <si>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</si>
  <si>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</si>
  <si>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</si>
  <si>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</si>
  <si>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</si>
  <si>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</si>
  <si>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</si>
  <si>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</si>
  <si>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</si>
  <si>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</si>
  <si>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</si>
  <si>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</si>
  <si>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</si>
  <si>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</si>
  <si>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</si>
  <si>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</si>
  <si>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</si>
  <si>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</si>
  <si>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</si>
  <si>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</si>
  <si>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</si>
  <si>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</si>
  <si>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</si>
  <si>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</si>
  <si>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</si>
  <si>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</si>
  <si>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</si>
  <si>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</si>
  <si>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</si>
  <si>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</si>
  <si>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</si>
  <si>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</si>
  <si>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</si>
  <si>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</si>
  <si>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</si>
  <si>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</si>
  <si>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</si>
  <si>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</si>
  <si>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</si>
  <si>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</si>
  <si>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</si>
  <si>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</si>
  <si>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</si>
  <si>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</si>
  <si>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</si>
  <si>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</si>
  <si>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</si>
  <si>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</si>
  <si>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</si>
  <si>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</si>
  <si>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</si>
  <si>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</si>
  <si>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</si>
  <si>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</si>
  <si>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</si>
  <si>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</si>
  <si>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</si>
  <si>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</si>
  <si>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</si>
  <si>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</si>
  <si>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</si>
  <si>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</si>
  <si>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</si>
  <si>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</si>
  <si>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</si>
  <si>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</si>
  <si>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</si>
  <si>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</si>
  <si>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</si>
  <si>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</si>
  <si>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</si>
  <si>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</si>
  <si>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</si>
  <si>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</si>
  <si>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</si>
  <si>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</si>
  <si>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</si>
  <si>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</si>
  <si>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</si>
  <si>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</si>
  <si>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</si>
  <si>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</si>
  <si>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</si>
  <si>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</si>
  <si>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</si>
  <si>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</si>
  <si>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</si>
  <si>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</si>
  <si>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</si>
  <si>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</si>
  <si>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</si>
  <si>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</si>
  <si>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</si>
  <si>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</si>
  <si>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</si>
  <si>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</si>
  <si>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</si>
  <si>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</si>
  <si>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</si>
  <si>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</si>
  <si>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</si>
  <si>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</si>
  <si>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</si>
  <si>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</si>
  <si>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</si>
  <si>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</si>
  <si>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</si>
  <si>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</si>
  <si>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</si>
  <si>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</si>
  <si>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</si>
  <si>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</si>
  <si>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</si>
  <si>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</si>
  <si>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</si>
  <si>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</si>
  <si>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</si>
  <si>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</si>
  <si>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</si>
  <si>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</si>
  <si>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</si>
  <si>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</si>
  <si>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</si>
  <si>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</si>
  <si>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</si>
  <si>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</si>
  <si>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</si>
  <si>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</si>
  <si>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</si>
  <si>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</si>
  <si>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</si>
  <si>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</si>
  <si>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</si>
  <si>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</si>
  <si>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</si>
  <si>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</si>
  <si>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</si>
  <si>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</si>
  <si>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</si>
  <si>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</si>
  <si>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</si>
  <si>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</si>
  <si>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</si>
  <si>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</si>
  <si>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</si>
  <si>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</si>
  <si>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</si>
  <si>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</si>
  <si>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</si>
  <si>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</si>
  <si>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</si>
  <si>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</si>
  <si>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</si>
  <si>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</si>
  <si>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</si>
  <si>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</si>
  <si>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</si>
  <si>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</si>
  <si>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</si>
  <si>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</si>
  <si>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</si>
  <si>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</si>
  <si>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</si>
  <si>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</si>
  <si>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</si>
  <si>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</si>
  <si>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</si>
  <si>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</si>
  <si>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</si>
  <si>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</si>
  <si>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</si>
  <si>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</si>
  <si>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</si>
  <si>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</si>
  <si>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</si>
  <si>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</si>
  <si>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</si>
  <si>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</si>
  <si>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</si>
  <si>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</si>
  <si>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</si>
  <si>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</si>
  <si>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</si>
  <si>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</si>
  <si>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</si>
  <si>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</si>
  <si>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</si>
  <si>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</si>
  <si>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</si>
  <si>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</si>
  <si>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</si>
  <si>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</si>
  <si>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</si>
  <si>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</si>
  <si>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</si>
  <si>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</si>
  <si>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</si>
  <si>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</si>
  <si>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</si>
  <si>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</si>
  <si>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</si>
  <si>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</si>
  <si>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</si>
  <si>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</si>
  <si>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</si>
  <si>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</si>
  <si>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</si>
  <si>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</si>
  <si>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</si>
  <si>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</si>
  <si>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</si>
  <si>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</si>
  <si>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</si>
  <si>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</si>
  <si>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</si>
  <si>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</si>
  <si>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</si>
  <si>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</si>
  <si>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</si>
  <si>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</si>
  <si>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</si>
  <si>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</si>
  <si>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</si>
  <si>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</si>
  <si>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</si>
  <si>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</si>
  <si>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</si>
  <si>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</si>
  <si>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</si>
  <si>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</si>
  <si>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</si>
  <si>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</si>
  <si>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</si>
  <si>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</si>
  <si>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</si>
  <si>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</si>
  <si>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</si>
  <si>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</si>
  <si>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</si>
  <si>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</si>
  <si>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</si>
  <si>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</si>
  <si>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</si>
  <si>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</si>
  <si>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</si>
  <si>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</si>
  <si>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</si>
  <si>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</si>
  <si>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</si>
  <si>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</si>
  <si>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</si>
  <si>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</si>
  <si>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</si>
  <si>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</si>
  <si>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</si>
  <si>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</si>
  <si>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</si>
  <si>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</si>
  <si>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</si>
  <si>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</si>
  <si>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</si>
  <si>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</si>
  <si>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</si>
  <si>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</si>
  <si>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</si>
  <si>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</si>
  <si>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</si>
  <si>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</si>
  <si>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</si>
  <si>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</si>
  <si>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</si>
  <si>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</si>
  <si>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</si>
  <si>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</si>
  <si>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</si>
  <si>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</si>
  <si>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</si>
  <si>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</si>
  <si>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</si>
  <si>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</si>
  <si>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</si>
  <si>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</si>
  <si>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</si>
  <si>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</si>
  <si>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</si>
  <si>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</si>
  <si>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</si>
  <si>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</si>
  <si>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</si>
  <si>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</si>
  <si>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</si>
  <si>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</si>
  <si>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</si>
  <si>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</si>
  <si>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</si>
  <si>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</si>
  <si>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</si>
  <si>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</si>
  <si>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</si>
  <si>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</si>
  <si>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</si>
  <si>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</si>
  <si>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</si>
  <si>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</si>
  <si>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</si>
  <si>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</si>
  <si>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</si>
  <si>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</si>
  <si>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</si>
  <si>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</si>
  <si>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</si>
  <si>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</si>
  <si>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</si>
  <si>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</si>
  <si>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</si>
  <si>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</si>
  <si>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</si>
  <si>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</si>
  <si>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</si>
  <si>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</si>
  <si>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</si>
  <si>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</si>
  <si>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</si>
  <si>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</si>
  <si>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</si>
  <si>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</si>
  <si>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</si>
  <si>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</si>
  <si>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</si>
  <si>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</si>
  <si>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</si>
  <si>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</si>
  <si>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</si>
  <si>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</si>
  <si>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</si>
  <si>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</si>
  <si>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</si>
  <si>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</si>
  <si>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</si>
  <si>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</si>
  <si>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</si>
  <si>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</si>
  <si>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</si>
  <si>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</si>
  <si>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</si>
  <si>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</si>
  <si>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</si>
  <si>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</si>
  <si>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</si>
  <si>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</si>
  <si>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</si>
  <si>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</si>
  <si>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</si>
  <si>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</si>
  <si>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</si>
  <si>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</si>
  <si>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</si>
  <si>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</si>
  <si>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</si>
  <si>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</si>
  <si>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</si>
  <si>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</si>
  <si>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</si>
  <si>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</si>
  <si>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</si>
  <si>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</si>
  <si>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</si>
  <si>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</si>
  <si>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</si>
  <si>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</si>
  <si>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</si>
  <si>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</si>
  <si>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</si>
  <si>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</si>
  <si>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</si>
  <si>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</si>
  <si>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</si>
  <si>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</si>
  <si>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</si>
  <si>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</si>
  <si>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</si>
  <si>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</si>
  <si>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</si>
  <si>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</si>
  <si>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</si>
  <si>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</si>
  <si>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</si>
  <si>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</si>
  <si>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</si>
  <si>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</si>
  <si>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</si>
  <si>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</si>
  <si>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</si>
  <si>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</si>
  <si>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</si>
  <si>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</si>
  <si>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</si>
  <si>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</si>
  <si>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</si>
  <si>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</si>
  <si>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</si>
  <si>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</si>
  <si>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</si>
  <si>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</si>
  <si>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</si>
  <si>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</si>
  <si>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</si>
  <si>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</si>
  <si>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</si>
  <si>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</si>
  <si>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</si>
  <si>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</si>
  <si>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</si>
  <si>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</si>
  <si>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</si>
  <si>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</si>
  <si>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</si>
  <si>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</si>
  <si>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</si>
  <si>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</si>
  <si>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</si>
  <si>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</si>
  <si>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</si>
  <si>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</si>
  <si>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</si>
  <si>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</si>
  <si>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</si>
  <si>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</si>
  <si>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</si>
  <si>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</si>
  <si>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</si>
  <si>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</si>
  <si>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</si>
  <si>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</si>
  <si>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</si>
  <si>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</si>
  <si>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</si>
  <si>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</si>
  <si>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</si>
  <si>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</si>
  <si>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</si>
  <si>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</si>
  <si>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</si>
  <si>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</si>
  <si>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</si>
  <si>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</si>
  <si>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</si>
  <si>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</si>
  <si>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</si>
  <si>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</si>
  <si>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</si>
  <si>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</si>
  <si>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</si>
  <si>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</si>
  <si>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</si>
  <si>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</si>
  <si>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</si>
  <si>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</si>
  <si>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</si>
  <si>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</si>
  <si>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</si>
  <si>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</si>
  <si>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</si>
  <si>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</si>
  <si>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</si>
  <si>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</si>
  <si>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</si>
  <si>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</si>
  <si>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</si>
  <si>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</si>
  <si>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</si>
  <si>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</si>
  <si>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</si>
  <si>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</si>
  <si>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</si>
  <si>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</si>
  <si>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</si>
  <si>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</si>
  <si>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</si>
  <si>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</si>
  <si>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</si>
  <si>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</si>
  <si>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</si>
  <si>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</si>
  <si>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</si>
  <si>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</si>
  <si>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</si>
  <si>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</si>
  <si>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</si>
  <si>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</si>
  <si>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</si>
  <si>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</si>
  <si>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</si>
  <si>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</si>
  <si>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</si>
  <si>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</si>
  <si>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</si>
  <si>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</si>
  <si>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</si>
  <si>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</si>
  <si>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</si>
  <si>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</si>
  <si>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</si>
  <si>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</si>
  <si>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</si>
  <si>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</si>
  <si>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</si>
  <si>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</si>
  <si>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</si>
  <si>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</si>
  <si>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</si>
  <si>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</si>
  <si>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</si>
  <si>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</si>
  <si>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</si>
  <si>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</si>
  <si>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</si>
  <si>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</si>
  <si>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</si>
  <si>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</si>
  <si>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</si>
  <si>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</si>
  <si>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</si>
  <si>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</si>
  <si>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</si>
  <si>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</si>
  <si>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</si>
  <si>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</si>
  <si>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</si>
  <si>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</si>
  <si>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</si>
  <si>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</si>
  <si>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</si>
  <si>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</si>
  <si>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</si>
  <si>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</si>
  <si>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</si>
  <si>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</si>
  <si>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</si>
  <si>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</si>
  <si>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</si>
  <si>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</si>
  <si>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</si>
  <si>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</si>
  <si>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</si>
  <si>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</si>
  <si>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</si>
  <si>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</si>
  <si>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</si>
  <si>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</si>
  <si>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</si>
  <si>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</si>
  <si>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</si>
  <si>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</si>
  <si>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</si>
  <si>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</si>
  <si>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</si>
  <si>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</si>
  <si>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</si>
  <si>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</si>
  <si>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</si>
  <si>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</si>
  <si>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</si>
  <si>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</si>
  <si>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</si>
  <si>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</si>
  <si>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</si>
  <si>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</si>
  <si>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</si>
  <si>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</si>
  <si>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</si>
  <si>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</si>
  <si>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</si>
  <si>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</si>
  <si>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</si>
  <si>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</si>
  <si>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</si>
  <si>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</si>
  <si>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</si>
  <si>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</si>
  <si>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</si>
  <si>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</si>
  <si>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</si>
  <si>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</si>
  <si>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</si>
  <si>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</si>
  <si>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</si>
  <si>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</si>
  <si>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</si>
  <si>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</si>
  <si>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</si>
  <si>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</si>
  <si>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</si>
  <si>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</si>
  <si>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</si>
  <si>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</si>
  <si>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</si>
  <si>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</si>
  <si>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</si>
  <si>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</si>
  <si>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</si>
  <si>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</si>
  <si>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</si>
  <si>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</si>
  <si>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</si>
  <si>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</si>
  <si>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</si>
  <si>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</si>
  <si>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</si>
  <si>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</si>
  <si>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</si>
  <si>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</si>
  <si>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</si>
  <si>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</si>
  <si>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</si>
  <si>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</si>
  <si>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</si>
  <si>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</si>
  <si>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</si>
  <si>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</si>
  <si>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</si>
  <si>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</si>
  <si>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</si>
  <si>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</si>
  <si>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</si>
  <si>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</si>
  <si>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</si>
  <si>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</si>
  <si>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</si>
  <si>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</si>
  <si>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</si>
  <si>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</si>
  <si>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</si>
  <si>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</si>
  <si>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</si>
  <si>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</si>
  <si>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</si>
  <si>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</si>
  <si>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</si>
  <si>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</si>
  <si>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</si>
  <si>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</si>
  <si>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</si>
  <si>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</si>
  <si>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</si>
  <si>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</si>
  <si>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</si>
  <si>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</si>
  <si>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</si>
  <si>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</si>
  <si>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</si>
  <si>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</si>
  <si>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</si>
  <si>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</si>
  <si>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</si>
  <si>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</si>
  <si>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</si>
  <si>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</si>
  <si>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</si>
  <si>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</si>
  <si>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</si>
  <si>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</si>
  <si>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</si>
  <si>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</si>
  <si>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</si>
  <si>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</si>
  <si>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</si>
  <si>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</si>
  <si>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</si>
  <si>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</si>
  <si>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</si>
  <si>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</si>
  <si>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</si>
  <si>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</si>
  <si>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</si>
  <si>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</si>
  <si>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</si>
  <si>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</si>
  <si>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</si>
  <si>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</si>
  <si>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</si>
  <si>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</si>
  <si>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</si>
  <si>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</si>
  <si>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</si>
  <si>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</si>
  <si>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</si>
  <si>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</si>
  <si>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</si>
  <si>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</si>
  <si>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</si>
  <si>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</si>
  <si>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</si>
  <si>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</si>
  <si>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</si>
  <si>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</si>
  <si>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</si>
  <si>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</si>
  <si>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</si>
  <si>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</si>
  <si>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</si>
  <si>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</si>
  <si>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</si>
  <si>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</si>
  <si>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</si>
  <si>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</si>
  <si>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</si>
  <si>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</si>
  <si>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</si>
  <si>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</si>
  <si>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</si>
  <si>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</si>
  <si>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</si>
  <si>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</si>
  <si>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</si>
  <si>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</si>
  <si>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</si>
  <si>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</si>
  <si>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</si>
  <si>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</si>
  <si>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</si>
  <si>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</si>
  <si>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</si>
  <si>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</si>
  <si>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</si>
  <si>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</si>
  <si>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</si>
  <si>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</si>
  <si>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</si>
  <si>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</si>
  <si>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</si>
  <si>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</si>
  <si>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</si>
  <si>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</si>
  <si>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</si>
  <si>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</si>
  <si>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</si>
  <si>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</si>
  <si>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</si>
  <si>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</si>
  <si>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</si>
  <si>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</si>
  <si>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</si>
  <si>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</si>
  <si>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</si>
  <si>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</si>
  <si>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</si>
  <si>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</si>
  <si>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</si>
  <si>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</si>
  <si>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</si>
  <si>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</si>
  <si>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</si>
  <si>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</si>
  <si>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</si>
  <si>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</si>
  <si>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</si>
  <si>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</si>
  <si>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</si>
  <si>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</si>
  <si>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</si>
  <si>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</si>
  <si>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</si>
  <si>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</si>
  <si>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</si>
  <si>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</si>
  <si>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</si>
  <si>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</si>
  <si>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</si>
  <si>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</si>
  <si>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</si>
  <si>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</si>
  <si>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</si>
  <si>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</si>
  <si>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</si>
  <si>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</si>
  <si>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</si>
  <si>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</si>
  <si>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</si>
  <si>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</si>
  <si>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</si>
  <si>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</si>
  <si>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</si>
  <si>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</si>
  <si>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</si>
  <si>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</si>
  <si>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</si>
  <si>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</si>
  <si>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</si>
  <si>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</si>
  <si>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</si>
  <si>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</si>
  <si>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</si>
  <si>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</si>
  <si>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</si>
  <si>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</si>
  <si>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</si>
  <si>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</si>
  <si>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</si>
  <si>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</si>
  <si>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</si>
  <si>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</si>
  <si>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</si>
  <si>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</si>
  <si>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</si>
  <si>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</si>
  <si>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</si>
  <si>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</si>
  <si>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</si>
  <si>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</si>
  <si>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</si>
  <si>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</si>
  <si>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</si>
  <si>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</si>
  <si>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</si>
  <si>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</si>
  <si>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</si>
  <si>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</si>
  <si>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</si>
  <si>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</si>
  <si>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</si>
  <si>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</si>
  <si>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</si>
  <si>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</si>
  <si>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</si>
  <si>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</si>
  <si>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</si>
  <si>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</si>
  <si>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</si>
  <si>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</si>
  <si>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</si>
  <si>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</si>
  <si>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</si>
  <si>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</si>
  <si>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</si>
  <si>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</si>
  <si>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</si>
  <si>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</si>
  <si>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</si>
  <si>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</si>
  <si>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</si>
  <si>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</si>
  <si>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</si>
  <si>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</si>
  <si>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</si>
  <si>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</si>
  <si>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</si>
  <si>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</si>
  <si>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</si>
  <si>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</si>
  <si>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</si>
  <si>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</si>
  <si>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</si>
  <si>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</si>
  <si>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</si>
  <si>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</si>
  <si>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</si>
  <si>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</si>
  <si>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</si>
  <si>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</si>
  <si>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</si>
  <si>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</si>
  <si>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</si>
  <si>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</si>
  <si>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</si>
  <si>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</si>
  <si>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</si>
  <si>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</si>
  <si>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</si>
  <si>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</si>
  <si>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</si>
  <si>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</si>
  <si>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</si>
  <si>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</si>
  <si>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</si>
  <si>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</si>
  <si>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</si>
  <si>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</si>
  <si>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</si>
  <si>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</si>
  <si>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</si>
  <si>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</si>
  <si>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</si>
  <si>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</si>
  <si>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</si>
  <si>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</si>
  <si>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</si>
  <si>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</si>
  <si>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</si>
  <si>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</si>
  <si>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</si>
  <si>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</si>
  <si>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</si>
  <si>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</si>
  <si>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</si>
  <si>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</si>
  <si>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</si>
  <si>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</si>
  <si>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</si>
  <si>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</si>
  <si>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</si>
  <si>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</si>
  <si>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</si>
  <si>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</si>
  <si>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</si>
  <si>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</si>
  <si>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</si>
  <si>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</si>
  <si>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</si>
  <si>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</si>
  <si>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</si>
  <si>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</si>
  <si>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</si>
  <si>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</si>
  <si>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</si>
  <si>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</si>
  <si>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</si>
  <si>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</si>
  <si>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</si>
  <si>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</si>
  <si>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</si>
  <si>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</si>
  <si>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</si>
  <si>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</si>
  <si>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</si>
  <si>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</si>
  <si>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</si>
  <si>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</si>
  <si>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</si>
  <si>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</si>
  <si>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</si>
  <si>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</si>
  <si>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</si>
  <si>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</si>
  <si>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</si>
  <si>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</si>
  <si>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</si>
  <si>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</si>
  <si>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</si>
  <si>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</si>
  <si>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</si>
  <si>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</si>
  <si>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</si>
  <si>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</si>
  <si>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</si>
  <si>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</si>
  <si>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</si>
  <si>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</si>
  <si>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</si>
  <si>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</si>
  <si>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</si>
  <si>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</si>
  <si>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</si>
  <si>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</si>
  <si>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</si>
  <si>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</si>
  <si>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</si>
  <si>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</si>
  <si>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</si>
  <si>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</si>
  <si>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</si>
  <si>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</si>
  <si>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</si>
  <si>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</si>
  <si>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</si>
  <si>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</si>
  <si>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</si>
  <si>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</si>
  <si>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</si>
  <si>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</si>
  <si>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</si>
  <si>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</si>
  <si>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</si>
  <si>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</si>
  <si>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</si>
  <si>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</si>
  <si>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</si>
  <si>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</si>
  <si>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</si>
  <si>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</si>
  <si>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</si>
  <si>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</si>
  <si>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</si>
  <si>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</si>
  <si>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</si>
  <si>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</si>
  <si>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</si>
  <si>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</si>
  <si>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</si>
  <si>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</si>
  <si>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</si>
  <si>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</si>
  <si>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</si>
  <si>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</si>
  <si>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</si>
  <si>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</si>
  <si>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</si>
  <si>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</si>
  <si>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</si>
  <si>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</si>
  <si>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</si>
  <si>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</si>
  <si>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</si>
  <si>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</si>
  <si>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</si>
  <si>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</si>
  <si>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</si>
  <si>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</si>
  <si>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</si>
  <si>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</si>
  <si>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</si>
  <si>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</si>
  <si>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</si>
  <si>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</si>
  <si>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</si>
  <si>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</si>
  <si>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</si>
  <si>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</si>
  <si>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</si>
  <si>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</si>
  <si>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</si>
  <si>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</si>
  <si>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</si>
  <si>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</si>
  <si>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</si>
  <si>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</si>
  <si>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</si>
  <si>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</si>
  <si>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</si>
  <si>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</si>
  <si>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</si>
  <si>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</si>
  <si>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</si>
  <si>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</si>
  <si>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</si>
  <si>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</si>
  <si>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</si>
  <si>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</si>
  <si>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</si>
  <si>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</si>
  <si>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</si>
  <si>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</si>
  <si>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</si>
  <si>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</si>
  <si>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</si>
  <si>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</si>
  <si>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</si>
  <si>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</si>
  <si>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</si>
  <si>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</si>
  <si>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</si>
  <si>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</si>
  <si>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</si>
  <si>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</si>
  <si>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</si>
  <si>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</si>
  <si>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</si>
  <si>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</si>
  <si>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</si>
  <si>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</si>
  <si>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</si>
  <si>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</si>
  <si>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</si>
  <si>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</si>
  <si>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</si>
  <si>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</si>
  <si>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</si>
  <si>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</si>
  <si>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</si>
  <si>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</si>
  <si>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</si>
  <si>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</si>
  <si>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</si>
  <si>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</si>
  <si>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</si>
  <si>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</si>
  <si>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</si>
  <si>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</si>
  <si>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</si>
  <si>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</si>
  <si>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</si>
  <si>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</si>
  <si>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</si>
  <si>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</si>
  <si>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</si>
  <si>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</si>
  <si>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</si>
  <si>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</si>
  <si>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</si>
  <si>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</si>
  <si>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</si>
  <si>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</si>
  <si>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</si>
  <si>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</si>
  <si>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</si>
  <si>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</si>
  <si>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</si>
  <si>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</si>
  <si>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</si>
  <si>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</si>
  <si>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</si>
  <si>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</si>
  <si>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</si>
  <si>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</si>
  <si>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</si>
  <si>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</si>
  <si>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</si>
  <si>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</si>
  <si>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</si>
  <si>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</si>
  <si>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</si>
  <si>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</si>
  <si>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</si>
  <si>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</si>
  <si>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</si>
  <si>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</si>
  <si>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</si>
  <si>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</si>
  <si>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</si>
  <si>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</si>
  <si>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</si>
  <si>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</si>
  <si>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</si>
  <si>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</si>
  <si>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</si>
  <si>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</si>
  <si>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</si>
  <si>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</si>
  <si>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</si>
  <si>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</si>
  <si>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</si>
  <si>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</si>
  <si>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</si>
  <si>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</si>
  <si>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</si>
  <si>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</si>
  <si>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</si>
  <si>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</si>
  <si>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</si>
  <si>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</si>
  <si>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</si>
  <si>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</si>
  <si>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</si>
  <si>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</si>
  <si>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</si>
  <si>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</si>
  <si>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</si>
  <si>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</si>
  <si>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</si>
  <si>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</si>
  <si>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</si>
  <si>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</si>
  <si>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</si>
  <si>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</si>
  <si>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</si>
  <si>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</si>
  <si>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</si>
  <si>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</si>
  <si>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</si>
  <si>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</si>
  <si>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</si>
  <si>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</si>
  <si>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</si>
  <si>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</si>
  <si>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</si>
  <si>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</si>
  <si>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</si>
  <si>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</si>
  <si>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</si>
  <si>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</si>
  <si>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</si>
  <si>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</si>
  <si>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</si>
  <si>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</si>
  <si>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</si>
  <si>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</si>
  <si>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</si>
  <si>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</si>
  <si>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</si>
  <si>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</si>
  <si>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</si>
  <si>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</si>
  <si>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</si>
  <si>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</si>
  <si>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</si>
  <si>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</si>
  <si>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</si>
  <si>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</si>
  <si>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</si>
  <si>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</si>
  <si>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</si>
  <si>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</si>
  <si>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</si>
  <si>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</si>
  <si>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</si>
  <si>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</si>
  <si>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</si>
  <si>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</si>
  <si>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</si>
  <si>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</si>
  <si>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</si>
  <si>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</si>
  <si>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</si>
  <si>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</si>
  <si>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</si>
  <si>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</si>
  <si>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</si>
  <si>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</si>
  <si>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</si>
  <si>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</si>
  <si>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</si>
  <si>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</si>
  <si>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</si>
  <si>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</si>
  <si>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</si>
  <si>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</si>
  <si>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</si>
  <si>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</si>
  <si>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</si>
  <si>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</si>
  <si>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</si>
  <si>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</si>
  <si>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</si>
  <si>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</si>
  <si>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</si>
  <si>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</si>
  <si>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</si>
  <si>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</si>
  <si>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</si>
  <si>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</si>
  <si>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</si>
  <si>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</si>
  <si>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</si>
  <si>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</si>
  <si>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</si>
  <si>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</si>
  <si>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</si>
  <si>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</si>
  <si>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</si>
  <si>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</si>
  <si>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</si>
  <si>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</si>
  <si>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</si>
  <si>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</si>
  <si>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</si>
  <si>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</si>
  <si>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</si>
  <si>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</si>
  <si>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</si>
  <si>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</si>
  <si>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</si>
  <si>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</si>
  <si>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</si>
  <si>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</si>
  <si>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</si>
  <si>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</si>
  <si>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</si>
  <si>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</si>
  <si>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</si>
  <si>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</si>
  <si>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</si>
  <si>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</si>
  <si>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</si>
  <si>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</si>
  <si>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</si>
  <si>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</si>
  <si>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</si>
  <si>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</si>
  <si>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</si>
  <si>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</si>
  <si>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</si>
  <si>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</si>
  <si>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</si>
  <si>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</si>
  <si>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</si>
  <si>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</si>
  <si>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</si>
  <si>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</si>
  <si>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</si>
  <si>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</si>
  <si>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</si>
  <si>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</si>
  <si>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</si>
  <si>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</si>
  <si>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</si>
  <si>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</si>
  <si>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</si>
  <si>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</si>
  <si>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</si>
  <si>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</si>
  <si>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</si>
  <si>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</si>
  <si>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</si>
  <si>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</si>
  <si>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</si>
  <si>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</si>
  <si>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</si>
  <si>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</si>
  <si>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</si>
  <si>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</si>
  <si>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</si>
  <si>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</si>
  <si>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</si>
  <si>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</si>
  <si>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</si>
  <si>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</si>
  <si>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</si>
  <si>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</si>
  <si>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</si>
  <si>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</si>
  <si>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</si>
  <si>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</si>
  <si>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</si>
  <si>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</si>
  <si>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</si>
  <si>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</si>
  <si>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</si>
  <si>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</si>
  <si>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</si>
  <si>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</si>
  <si>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</si>
  <si>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</si>
  <si>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</si>
  <si>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</si>
  <si>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</si>
  <si>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</si>
  <si>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</si>
  <si>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</si>
  <si>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</si>
  <si>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</si>
  <si>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</si>
  <si>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</si>
  <si>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</si>
  <si>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</si>
  <si>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</si>
  <si>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</si>
  <si>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</si>
  <si>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</si>
  <si>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</si>
  <si>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</si>
  <si>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</si>
  <si>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</si>
  <si>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</si>
  <si>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</si>
  <si>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</si>
  <si>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</si>
  <si>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</si>
  <si>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</si>
  <si>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</si>
  <si>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</si>
  <si>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</si>
  <si>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</si>
  <si>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</si>
  <si>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</si>
  <si>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</si>
  <si>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</si>
  <si>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</si>
  <si>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</si>
  <si>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</si>
  <si>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</si>
  <si>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</si>
  <si>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</si>
  <si>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</si>
  <si>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</si>
  <si>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</si>
  <si>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</si>
  <si>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</si>
  <si>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</si>
  <si>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</si>
  <si>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</si>
  <si>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</si>
  <si>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</si>
  <si>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</si>
  <si>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</si>
  <si>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</si>
  <si>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</si>
  <si>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</si>
  <si>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</si>
  <si>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</si>
  <si>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</si>
  <si>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</si>
  <si>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</si>
  <si>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</si>
  <si>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</si>
  <si>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</si>
  <si>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</si>
  <si>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</si>
  <si>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</si>
  <si>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</si>
  <si>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</si>
  <si>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</si>
  <si>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</si>
  <si>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</si>
  <si>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</si>
  <si>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</si>
  <si>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</si>
  <si>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</si>
  <si>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</si>
  <si>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</si>
  <si>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</si>
  <si>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</si>
  <si>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</si>
  <si>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</si>
  <si>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</si>
  <si>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</si>
  <si>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</si>
  <si>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</si>
  <si>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</si>
  <si>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</si>
  <si>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</si>
  <si>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</si>
  <si>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</si>
  <si>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</si>
  <si>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</si>
  <si>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</si>
  <si>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</si>
  <si>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</si>
  <si>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</si>
  <si>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</si>
  <si>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</si>
  <si>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</si>
  <si>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</si>
  <si>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</si>
  <si>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</si>
  <si>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</si>
  <si>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</si>
  <si>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</si>
  <si>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</si>
  <si>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</si>
  <si>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</si>
  <si>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</si>
  <si>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</si>
  <si>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</si>
  <si>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</si>
  <si>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</si>
  <si>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</si>
  <si>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</si>
  <si>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</si>
  <si>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</si>
  <si>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</si>
  <si>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</si>
  <si>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</si>
  <si>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</si>
  <si>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</si>
  <si>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</si>
  <si>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</si>
  <si>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</si>
  <si>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</si>
  <si>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</si>
  <si>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</si>
  <si>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</si>
  <si>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</si>
  <si>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</si>
  <si>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</si>
  <si>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</si>
  <si>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</si>
  <si>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</si>
  <si>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</si>
  <si>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</si>
  <si>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</si>
  <si>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</si>
  <si>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</si>
  <si>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</si>
  <si>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</si>
  <si>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</si>
  <si>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</si>
  <si>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</si>
  <si>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</si>
  <si>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</si>
  <si>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</si>
  <si>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</si>
  <si>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</si>
  <si>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</si>
  <si>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</si>
  <si>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</si>
  <si>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</si>
  <si>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</si>
  <si>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</si>
  <si>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</si>
  <si>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</si>
  <si>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</si>
  <si>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</si>
  <si>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</si>
  <si>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</si>
  <si>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</si>
  <si>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</si>
  <si>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</si>
  <si>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</si>
  <si>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</si>
  <si>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</si>
  <si>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</si>
  <si>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</si>
  <si>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</si>
  <si>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</si>
  <si>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</si>
  <si>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</si>
  <si>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</si>
  <si>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</si>
  <si>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</si>
  <si>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</si>
  <si>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</si>
  <si>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</si>
  <si>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</si>
  <si>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</si>
  <si>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</si>
  <si>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</si>
  <si>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</si>
  <si>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</si>
  <si>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</si>
  <si>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</si>
  <si>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</si>
  <si>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</si>
  <si>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</si>
  <si>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</si>
  <si>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</si>
  <si>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</si>
  <si>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</si>
  <si>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</si>
  <si>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</si>
  <si>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</si>
  <si>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</si>
  <si>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</si>
  <si>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</si>
  <si>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</si>
  <si>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</si>
  <si>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</si>
  <si>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</si>
  <si>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</si>
  <si>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</si>
  <si>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</si>
  <si>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</si>
  <si>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</si>
  <si>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</si>
  <si>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</si>
  <si>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</si>
  <si>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</si>
  <si>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</si>
  <si>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</si>
  <si>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</si>
  <si>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</si>
  <si>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</si>
  <si>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</si>
  <si>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</si>
  <si>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</si>
  <si>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</si>
  <si>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</si>
  <si>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</si>
  <si>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</si>
  <si>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</si>
  <si>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</si>
  <si>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</si>
  <si>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</si>
  <si>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</si>
  <si>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</si>
  <si>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</si>
  <si>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</si>
  <si>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</si>
  <si>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</si>
  <si>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</si>
  <si>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</si>
  <si>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</si>
  <si>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</si>
  <si>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</si>
  <si>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</si>
  <si>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</si>
  <si>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</si>
  <si>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</si>
  <si>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</si>
  <si>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</si>
  <si>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</si>
  <si>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</si>
  <si>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</si>
  <si>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</si>
  <si>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</si>
  <si>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</si>
  <si>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</si>
  <si>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</si>
  <si>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</si>
  <si>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</si>
  <si>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</si>
  <si>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</si>
  <si>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</si>
  <si>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</si>
  <si>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</si>
  <si>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</si>
  <si>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</si>
  <si>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</si>
  <si>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</si>
  <si>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</si>
  <si>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</si>
  <si>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</si>
  <si>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</si>
  <si>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</si>
  <si>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</si>
  <si>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</si>
  <si>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</si>
  <si>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</si>
  <si>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</si>
  <si>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</si>
  <si>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</si>
  <si>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</si>
  <si>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</si>
  <si>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</si>
  <si>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</si>
  <si>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</si>
  <si>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</si>
  <si>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</si>
  <si>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</si>
  <si>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</si>
  <si>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</si>
  <si>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</si>
  <si>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</si>
  <si>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</si>
  <si>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</si>
  <si>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</si>
  <si>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</si>
  <si>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</si>
  <si>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</si>
  <si>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</si>
  <si>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</si>
  <si>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</si>
  <si>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</si>
  <si>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</si>
  <si>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</si>
  <si>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</si>
  <si>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</si>
  <si>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</si>
  <si>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</si>
  <si>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</si>
  <si>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</si>
  <si>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</si>
  <si>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</si>
  <si>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</si>
  <si>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</si>
  <si>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</si>
  <si>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</si>
  <si>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</si>
  <si>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</si>
  <si>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</si>
  <si>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</si>
  <si>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</si>
  <si>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</si>
  <si>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</si>
  <si>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</si>
  <si>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</si>
  <si>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</si>
  <si>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</si>
  <si>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</si>
  <si>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</si>
  <si>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</si>
  <si>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</si>
  <si>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</si>
  <si>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</si>
  <si>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</si>
  <si>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</si>
  <si>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</si>
  <si>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</si>
  <si>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</si>
  <si>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</si>
  <si>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</si>
  <si>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</si>
  <si>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</si>
  <si>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</si>
  <si>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</si>
  <si>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</si>
  <si>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</si>
  <si>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</si>
  <si>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</si>
  <si>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</si>
  <si>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</si>
  <si>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</si>
  <si>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</si>
  <si>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</si>
  <si>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</si>
  <si>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</si>
  <si>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</si>
  <si>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</si>
  <si>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</si>
  <si>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</si>
  <si>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</si>
  <si>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</si>
  <si>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</si>
  <si>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</si>
  <si>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</si>
  <si>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</si>
  <si>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</si>
  <si>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</si>
  <si>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</si>
  <si>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</si>
  <si>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</si>
  <si>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</si>
  <si>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</si>
  <si>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</si>
  <si>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</si>
  <si>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</si>
  <si>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</si>
  <si>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</si>
  <si>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</si>
  <si>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</si>
  <si>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</si>
  <si>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</si>
  <si>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</si>
  <si>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</si>
  <si>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</si>
  <si>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</si>
  <si>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</si>
  <si>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</si>
  <si>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</si>
  <si>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</si>
  <si>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</si>
  <si>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</si>
  <si>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</si>
  <si>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</si>
  <si>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</si>
  <si>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</si>
  <si>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</si>
  <si>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</si>
  <si>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</si>
  <si>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</si>
  <si>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</si>
  <si>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</si>
  <si>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</si>
  <si>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</si>
  <si>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</si>
  <si>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</si>
  <si>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</si>
  <si>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</si>
  <si>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</si>
  <si>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</si>
  <si>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</si>
  <si>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</si>
  <si>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</si>
  <si>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</si>
  <si>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</si>
  <si>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</si>
  <si>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</si>
  <si>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</si>
  <si>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</si>
  <si>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</si>
  <si>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</si>
  <si>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</si>
  <si>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</si>
  <si>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</si>
  <si>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</si>
  <si>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</si>
  <si>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</si>
  <si>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</si>
  <si>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</si>
  <si>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</si>
  <si>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</si>
  <si>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</si>
  <si>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</si>
  <si>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</si>
  <si>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</si>
  <si>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</si>
  <si>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</si>
  <si>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</si>
  <si>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</si>
  <si>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</si>
  <si>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</si>
  <si>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</si>
  <si>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</si>
  <si>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</si>
  <si>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</si>
  <si>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</si>
  <si>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</si>
  <si>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</si>
  <si>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</si>
  <si>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</si>
  <si>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</si>
  <si>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</si>
  <si>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</si>
  <si>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</si>
  <si>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</si>
  <si>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</si>
  <si>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</si>
  <si>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</si>
  <si>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</si>
  <si>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</si>
  <si>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</si>
  <si>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</si>
  <si>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</si>
  <si>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</si>
  <si>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</si>
  <si>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</si>
  <si>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</si>
  <si>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</si>
  <si>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</si>
  <si>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</si>
  <si>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</si>
  <si>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</si>
  <si>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</si>
  <si>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</si>
  <si>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</si>
  <si>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</si>
  <si>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</si>
  <si>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</si>
  <si>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</si>
  <si>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</si>
  <si>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</si>
  <si>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</si>
  <si>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</si>
  <si>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</si>
  <si>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</si>
  <si>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</si>
  <si>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</si>
  <si>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</si>
  <si>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</si>
  <si>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</si>
  <si>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</si>
  <si>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</si>
  <si>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</si>
  <si>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</si>
  <si>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</si>
  <si>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</si>
  <si>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</si>
  <si>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</si>
  <si>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</si>
  <si>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</si>
  <si>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</si>
  <si>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</si>
  <si>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</si>
  <si>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</si>
  <si>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</si>
  <si>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</si>
  <si>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</si>
  <si>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</si>
  <si>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</si>
  <si>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</si>
  <si>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</si>
  <si>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</si>
  <si>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</si>
  <si>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</si>
  <si>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</si>
  <si>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</si>
  <si>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</si>
  <si>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</si>
  <si>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</si>
  <si>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</si>
  <si>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</si>
  <si>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</si>
  <si>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</si>
  <si>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</si>
  <si>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</si>
  <si>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</si>
  <si>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</si>
  <si>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</si>
  <si>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</si>
  <si>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</si>
  <si>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</si>
  <si>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</si>
  <si>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</si>
  <si>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</si>
  <si>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</si>
  <si>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</si>
  <si>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</si>
  <si>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</si>
  <si>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</si>
  <si>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</si>
  <si>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</si>
  <si>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</si>
  <si>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</si>
  <si>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</si>
  <si>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</si>
  <si>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</si>
  <si>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</si>
  <si>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</si>
  <si>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</si>
  <si>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</si>
  <si>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</si>
  <si>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</si>
  <si>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</si>
  <si>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</si>
  <si>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</si>
  <si>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</si>
  <si>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</si>
  <si>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</si>
  <si>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</si>
  <si>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</si>
  <si>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</si>
  <si>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</si>
  <si>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</si>
  <si>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</si>
  <si>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</si>
  <si>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</si>
  <si>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</si>
  <si>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</si>
  <si>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</si>
  <si>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</si>
  <si>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</si>
  <si>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</si>
  <si>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</si>
  <si>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</si>
  <si>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</si>
  <si>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</si>
  <si>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</si>
  <si>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</si>
  <si>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</si>
  <si>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</si>
  <si>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</si>
  <si>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</si>
  <si>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</si>
  <si>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</si>
  <si>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</si>
  <si>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</si>
  <si>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</si>
  <si>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</si>
  <si>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</si>
  <si>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</si>
  <si>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</si>
  <si>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</si>
  <si>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</si>
  <si>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</si>
  <si>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</si>
  <si>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</si>
  <si>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</si>
  <si>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</si>
  <si>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</si>
  <si>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</si>
  <si>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</si>
  <si>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</si>
  <si>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</si>
  <si>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</si>
  <si>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</si>
  <si>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</si>
  <si>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</si>
  <si>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</si>
  <si>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</si>
  <si>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</si>
  <si>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</si>
  <si>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</si>
  <si>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</si>
  <si>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</si>
  <si>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</si>
  <si>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</si>
  <si>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</si>
  <si>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</si>
  <si>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</si>
  <si>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</si>
  <si>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</si>
  <si>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</si>
  <si>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</si>
  <si>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</si>
  <si>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</si>
  <si>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</si>
  <si>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</si>
  <si>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</si>
  <si>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</si>
  <si>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</si>
  <si>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</si>
  <si>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</si>
  <si>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</si>
  <si>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</si>
  <si>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</si>
  <si>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</si>
  <si>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</si>
  <si>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</si>
  <si>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</si>
  <si>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</si>
  <si>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</si>
  <si>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</si>
  <si>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</si>
  <si>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</si>
  <si>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</si>
  <si>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</si>
  <si>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</si>
  <si>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</si>
  <si>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</si>
  <si>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</si>
  <si>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</si>
  <si>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</si>
  <si>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</si>
  <si>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</si>
  <si>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</si>
  <si>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</si>
  <si>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</si>
  <si>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</si>
  <si>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</si>
  <si>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</si>
  <si>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</si>
  <si>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</si>
  <si>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</si>
  <si>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</si>
  <si>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</si>
  <si>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</si>
  <si>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</si>
  <si>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</si>
  <si>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</si>
  <si>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</si>
  <si>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</si>
  <si>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</si>
  <si>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</si>
  <si>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</si>
  <si>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</si>
  <si>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</si>
  <si>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</si>
  <si>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</si>
  <si>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</si>
  <si>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</si>
  <si>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</si>
  <si>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</si>
  <si>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</si>
  <si>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</si>
  <si>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</si>
  <si>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</si>
  <si>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</si>
  <si>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</si>
  <si>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</si>
  <si>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</si>
  <si>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</si>
  <si>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</si>
  <si>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</si>
  <si>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</si>
  <si>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</si>
  <si>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</si>
  <si>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</si>
  <si>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</si>
  <si>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</si>
  <si>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</si>
  <si>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</si>
  <si>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</si>
  <si>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</si>
  <si>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</si>
  <si>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</si>
  <si>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</si>
  <si>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</si>
  <si>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</si>
  <si>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</si>
  <si>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</si>
  <si>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</si>
  <si>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</si>
  <si>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</si>
  <si>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</si>
  <si>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</si>
  <si>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</si>
  <si>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</si>
  <si>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</si>
  <si>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</si>
  <si>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</si>
  <si>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</si>
  <si>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</si>
  <si>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</si>
  <si>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</si>
  <si>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</si>
  <si>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</si>
  <si>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</si>
  <si>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</si>
  <si>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</si>
  <si>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</si>
  <si>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</si>
  <si>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</si>
  <si>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</si>
  <si>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</si>
  <si>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</si>
  <si>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</si>
  <si>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</si>
  <si>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</si>
  <si>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</si>
  <si>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</si>
  <si>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</si>
  <si>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</si>
  <si>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</si>
  <si>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</si>
  <si>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</si>
  <si>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</si>
  <si>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</si>
  <si>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</si>
  <si>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</si>
  <si>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</si>
  <si>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</si>
  <si>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</si>
  <si>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</si>
  <si>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</si>
  <si>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</si>
  <si>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</si>
  <si>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</si>
  <si>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</si>
  <si>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</si>
  <si>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</si>
  <si>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</si>
  <si>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</si>
  <si>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</si>
  <si>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</si>
  <si>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</si>
  <si>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</si>
  <si>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</si>
  <si>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</si>
  <si>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</si>
  <si>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</si>
  <si>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</si>
  <si>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</si>
  <si>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</si>
  <si>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</si>
  <si>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</si>
  <si>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</si>
  <si>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</si>
  <si>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</si>
  <si>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</si>
  <si>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</si>
  <si>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</si>
  <si>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</si>
  <si>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</si>
  <si>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</si>
  <si>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</si>
  <si>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</si>
  <si>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</si>
  <si>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</si>
  <si>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</si>
  <si>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</si>
  <si>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</si>
  <si>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</si>
  <si>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</si>
  <si>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</si>
  <si>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</si>
  <si>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</si>
  <si>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</si>
  <si>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</si>
  <si>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</si>
  <si>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</si>
  <si>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</si>
  <si>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</si>
  <si>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</si>
  <si>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</si>
  <si>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</si>
  <si>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</si>
  <si>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</si>
  <si>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</si>
  <si>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</si>
  <si>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</si>
  <si>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</si>
  <si>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</si>
  <si>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</si>
  <si>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</si>
  <si>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</si>
  <si>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</si>
  <si>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</si>
  <si>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</si>
  <si>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</si>
  <si>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</si>
  <si>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</si>
  <si>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</si>
  <si>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</si>
  <si>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</si>
  <si>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</si>
  <si>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</si>
  <si>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</si>
  <si>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</si>
  <si>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</si>
  <si>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</si>
  <si>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</si>
  <si>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</si>
  <si>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</si>
  <si>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</si>
  <si>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</si>
  <si>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</si>
  <si>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</si>
  <si>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</si>
  <si>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</si>
  <si>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</si>
  <si>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</si>
  <si>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</si>
  <si>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</si>
  <si>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</si>
  <si>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</si>
  <si>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</si>
  <si>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</si>
  <si>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</si>
  <si>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</si>
  <si>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</si>
  <si>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</si>
  <si>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</si>
  <si>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</si>
  <si>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</si>
  <si>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</si>
  <si>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</si>
  <si>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</si>
  <si>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</si>
  <si>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</si>
  <si>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</si>
  <si>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</si>
  <si>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</si>
  <si>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</si>
  <si>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</si>
  <si>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</si>
  <si>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</si>
  <si>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</si>
  <si>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</si>
  <si>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</si>
  <si>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</si>
  <si>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</si>
  <si>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</si>
  <si>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</si>
  <si>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</si>
  <si>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</si>
  <si>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</si>
  <si>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</si>
  <si>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</si>
  <si>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</si>
  <si>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</si>
  <si>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</si>
  <si>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</si>
  <si>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</si>
  <si>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</si>
  <si>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</si>
  <si>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</si>
  <si>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</si>
  <si>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</si>
  <si>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</si>
  <si>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</si>
  <si>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</si>
  <si>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</si>
  <si>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</si>
  <si>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</si>
  <si>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</si>
  <si>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</si>
  <si>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</si>
  <si>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</si>
  <si>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</si>
  <si>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</si>
  <si>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</si>
  <si>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</si>
  <si>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</si>
  <si>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</si>
  <si>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</si>
  <si>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</si>
  <si>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</si>
  <si>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</si>
  <si>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</si>
  <si>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</si>
  <si>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</si>
  <si>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</si>
  <si>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</si>
  <si>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</si>
  <si>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</si>
  <si>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</si>
  <si>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</si>
  <si>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</si>
  <si>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</si>
  <si>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</si>
  <si>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</si>
  <si>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</si>
  <si>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</si>
  <si>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</si>
  <si>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</si>
  <si>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</si>
  <si>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</si>
  <si>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</si>
  <si>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</si>
  <si>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</si>
  <si>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</si>
  <si>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</si>
  <si>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</si>
  <si>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</si>
  <si>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</si>
  <si>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</si>
  <si>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</si>
  <si>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</si>
  <si>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</si>
  <si>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</si>
  <si>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</si>
  <si>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</si>
  <si>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</si>
  <si>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</si>
  <si>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</si>
  <si>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</si>
  <si>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</si>
  <si>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</si>
  <si>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</si>
  <si>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</si>
  <si>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</si>
  <si>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</si>
  <si>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</si>
  <si>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</si>
  <si>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</si>
  <si>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</si>
  <si>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</si>
  <si>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</si>
  <si>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</si>
  <si>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</si>
  <si>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</si>
  <si>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</si>
  <si>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</si>
  <si>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</si>
  <si>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</si>
  <si>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</si>
  <si>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</si>
  <si>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</si>
  <si>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</si>
  <si>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</si>
  <si>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</si>
  <si>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</si>
  <si>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</si>
  <si>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</si>
  <si>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</si>
  <si>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</si>
  <si>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</si>
  <si>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</si>
  <si>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</si>
  <si>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</si>
  <si>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</si>
  <si>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</si>
  <si>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</si>
  <si>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</si>
  <si>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</si>
  <si>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</si>
  <si>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</si>
  <si>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</si>
  <si>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</si>
  <si>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</si>
  <si>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</si>
  <si>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</si>
  <si>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</si>
  <si>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</si>
  <si>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</si>
  <si>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</si>
  <si>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</si>
  <si>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</si>
  <si>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</si>
  <si>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</si>
  <si>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</si>
  <si>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</si>
  <si>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</si>
  <si>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</si>
  <si>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</si>
  <si>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</si>
  <si>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</si>
  <si>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</si>
  <si>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</si>
  <si>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</si>
  <si>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</si>
  <si>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</si>
  <si>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</si>
  <si>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</si>
  <si>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</si>
  <si>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</si>
  <si>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</si>
  <si>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</si>
  <si>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</si>
  <si>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</si>
  <si>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</si>
  <si>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</si>
  <si>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</si>
  <si>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</si>
  <si>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</si>
  <si>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</si>
  <si>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</si>
  <si>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</si>
  <si>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</si>
  <si>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</si>
  <si>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</si>
  <si>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</si>
  <si>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</si>
  <si>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</si>
  <si>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</si>
  <si>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</si>
  <si>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</si>
  <si>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</si>
  <si>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</si>
  <si>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</si>
  <si>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</si>
  <si>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</si>
  <si>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</si>
  <si>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</si>
  <si>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</si>
  <si>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</si>
  <si>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</si>
  <si>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</si>
  <si>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</si>
  <si>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</si>
  <si>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</si>
  <si>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</si>
  <si>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</si>
  <si>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</si>
  <si>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</si>
  <si>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</si>
  <si>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</si>
  <si>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</si>
  <si>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</si>
  <si>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</si>
  <si>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</si>
  <si>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</si>
  <si>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</si>
  <si>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</si>
  <si>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</si>
  <si>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</si>
  <si>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</si>
  <si>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</si>
  <si>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</si>
  <si>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</si>
  <si>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</si>
  <si>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</si>
  <si>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</si>
  <si>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</si>
  <si>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</si>
  <si>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</si>
  <si>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</si>
  <si>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</si>
  <si>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</si>
  <si>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</si>
  <si>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</si>
  <si>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</si>
  <si>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</si>
  <si>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</si>
  <si>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</si>
  <si>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</si>
  <si>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</si>
  <si>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</si>
  <si>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</si>
  <si>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</si>
  <si>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</si>
  <si>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</si>
  <si>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</si>
  <si>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</si>
  <si>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</si>
  <si>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</si>
  <si>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</si>
  <si>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</si>
  <si>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</si>
  <si>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</si>
  <si>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</si>
  <si>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</si>
  <si>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</si>
  <si>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</si>
  <si>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</si>
  <si>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</si>
  <si>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</si>
  <si>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</si>
  <si>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</si>
  <si>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</si>
  <si>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</si>
  <si>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</si>
  <si>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</si>
  <si>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</si>
  <si>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</si>
  <si>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</si>
  <si>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</si>
  <si>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</si>
  <si>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</si>
  <si>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</si>
  <si>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</si>
  <si>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</si>
  <si>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</si>
  <si>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</si>
  <si>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</si>
  <si>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</si>
  <si>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</si>
  <si>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</si>
  <si>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</si>
  <si>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</si>
  <si>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</si>
  <si>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</si>
  <si>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</si>
  <si>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</si>
  <si>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</si>
  <si>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</si>
  <si>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</si>
  <si>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</si>
  <si>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</si>
  <si>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</si>
  <si>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</si>
  <si>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</si>
  <si>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</si>
  <si>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</si>
  <si>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</si>
  <si>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</si>
  <si>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</si>
  <si>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</si>
  <si>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</si>
  <si>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</si>
  <si>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</si>
  <si>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</si>
  <si>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</si>
  <si>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</si>
  <si>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</si>
  <si>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</si>
  <si>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</si>
  <si>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</si>
  <si>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</si>
  <si>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</si>
  <si>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</si>
  <si>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</si>
  <si>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</si>
  <si>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</si>
  <si>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</si>
  <si>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</si>
  <si>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</si>
  <si>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</si>
  <si>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</si>
  <si>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</si>
  <si>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</si>
  <si>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</si>
  <si>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</si>
  <si>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</si>
  <si>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</si>
  <si>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</si>
  <si>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</si>
  <si>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</si>
  <si>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</si>
  <si>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</si>
  <si>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</si>
  <si>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</si>
  <si>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</si>
  <si>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</si>
  <si>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</si>
  <si>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</si>
  <si>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</si>
  <si>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</si>
  <si>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</si>
  <si>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</si>
  <si>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</si>
  <si>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</si>
  <si>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</si>
  <si>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</si>
  <si>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</si>
  <si>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</si>
  <si>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</si>
  <si>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</si>
  <si>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</si>
  <si>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</si>
  <si>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</si>
  <si>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</si>
  <si>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</si>
  <si>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</si>
  <si>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</si>
  <si>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</si>
  <si>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</si>
  <si>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</si>
  <si>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</si>
  <si>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</si>
  <si>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</si>
  <si>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</si>
  <si>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</si>
  <si>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</si>
  <si>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</si>
  <si>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</si>
  <si>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</si>
  <si>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</si>
  <si>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</si>
  <si>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</si>
  <si>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</si>
  <si>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</si>
  <si>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</si>
  <si>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</si>
  <si>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</si>
  <si>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</si>
  <si>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</si>
  <si>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</si>
  <si>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</si>
  <si>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</si>
  <si>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</si>
  <si>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</si>
  <si>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</si>
  <si>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</si>
  <si>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</si>
  <si>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</si>
  <si>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</si>
  <si>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</si>
  <si>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</si>
  <si>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</si>
  <si>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</si>
  <si>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</si>
  <si>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</si>
  <si>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</si>
  <si>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</si>
  <si>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</si>
  <si>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</si>
  <si>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</si>
  <si>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</si>
  <si>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</si>
  <si>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</si>
  <si>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</si>
  <si>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</si>
  <si>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</si>
  <si>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</si>
  <si>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</si>
  <si>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</si>
  <si>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</si>
  <si>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</si>
  <si>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</si>
  <si>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</si>
  <si>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</si>
  <si>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</si>
  <si>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</si>
  <si>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</si>
  <si>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</si>
  <si>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</si>
  <si>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</si>
  <si>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</si>
  <si>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</si>
  <si>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</si>
  <si>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</si>
  <si>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</si>
  <si>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</si>
  <si>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</si>
  <si>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</si>
  <si>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</si>
  <si>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</si>
  <si>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</si>
  <si>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</si>
  <si>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</si>
  <si>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</si>
  <si>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</si>
  <si>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</si>
  <si>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</si>
  <si>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</si>
  <si>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</si>
  <si>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</si>
  <si>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</si>
  <si>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</si>
  <si>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</si>
  <si>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</si>
  <si>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</si>
  <si>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</si>
  <si>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</si>
  <si>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</si>
  <si>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</si>
  <si>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</si>
  <si>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</si>
  <si>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</si>
  <si>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</si>
  <si>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</si>
  <si>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</si>
  <si>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</si>
  <si>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</si>
  <si>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</si>
  <si>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</si>
  <si>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</si>
  <si>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</si>
  <si>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</si>
  <si>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</si>
  <si>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</si>
  <si>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</si>
  <si>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</si>
  <si>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</si>
  <si>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</si>
  <si>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</si>
  <si>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</si>
  <si>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</si>
  <si>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</si>
  <si>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</si>
  <si>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</si>
  <si>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</si>
  <si>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</si>
  <si>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</si>
  <si>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</si>
  <si>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</si>
  <si>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</si>
  <si>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</si>
  <si>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</si>
  <si>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</si>
  <si>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</si>
  <si>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</si>
  <si>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</si>
  <si>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</si>
  <si>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</si>
  <si>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</si>
  <si>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</si>
  <si>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</si>
  <si>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</si>
  <si>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</si>
  <si>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</si>
  <si>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</si>
  <si>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</si>
  <si>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</si>
  <si>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</si>
  <si>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</si>
  <si>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</si>
  <si>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</si>
  <si>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</si>
  <si>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</si>
  <si>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</si>
  <si>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</si>
  <si>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</si>
  <si>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</si>
  <si>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</si>
  <si>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</si>
  <si>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</si>
  <si>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</si>
  <si>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</si>
  <si>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</si>
  <si>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</si>
  <si>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</si>
  <si>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</si>
  <si>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</si>
  <si>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</si>
  <si>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</si>
  <si>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</si>
  <si>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</si>
  <si>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</si>
  <si>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</si>
  <si>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</si>
  <si>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</si>
  <si>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</si>
  <si>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</si>
  <si>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</si>
  <si>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</si>
  <si>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</si>
  <si>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</si>
  <si>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</si>
  <si>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</si>
  <si>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</si>
  <si>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</si>
  <si>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</si>
  <si>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</si>
  <si>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</si>
  <si>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</si>
  <si>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</si>
  <si>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</si>
  <si>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</si>
  <si>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</si>
  <si>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</si>
  <si>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</si>
  <si>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</si>
  <si>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</si>
  <si>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</si>
  <si>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</si>
  <si>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</si>
  <si>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</si>
  <si>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</si>
  <si>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</si>
  <si>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</si>
  <si>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</si>
  <si>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</si>
  <si>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</si>
  <si>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</si>
  <si>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</si>
  <si>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</si>
  <si>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</si>
  <si>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</si>
  <si>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</si>
  <si>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</si>
  <si>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</si>
  <si>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</si>
  <si>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</si>
  <si>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</si>
  <si>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</si>
  <si>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</si>
  <si>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</si>
  <si>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</si>
  <si>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</si>
  <si>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</si>
  <si>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</si>
  <si>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</si>
  <si>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</si>
  <si>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</si>
  <si>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</si>
  <si>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</si>
  <si>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</si>
  <si>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</si>
  <si>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</si>
  <si>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</si>
  <si>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</si>
  <si>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</si>
  <si>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</si>
  <si>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</si>
  <si>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</si>
  <si>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</si>
  <si>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</si>
  <si>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</si>
  <si>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</si>
  <si>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</si>
  <si>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</si>
  <si>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</si>
  <si>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</si>
  <si>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</si>
  <si>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</si>
  <si>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</si>
  <si>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</si>
  <si>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</si>
  <si>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</si>
  <si>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</si>
  <si>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</si>
  <si>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</si>
  <si>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</si>
  <si>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</si>
  <si>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</si>
  <si>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</si>
  <si>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</si>
  <si>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</si>
  <si>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</si>
  <si>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</si>
  <si>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</si>
  <si>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</si>
  <si>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</si>
  <si>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</si>
  <si>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</si>
  <si>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</si>
  <si>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</si>
  <si>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</si>
  <si>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</si>
  <si>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</si>
  <si>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</si>
  <si>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</si>
  <si>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</si>
  <si>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</si>
  <si>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</si>
  <si>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</si>
  <si>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</si>
  <si>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</si>
  <si>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</si>
  <si>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</si>
  <si>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</si>
  <si>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</si>
  <si>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</si>
  <si>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</si>
  <si>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</si>
  <si>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</si>
  <si>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</si>
  <si>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</si>
  <si>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</si>
  <si>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</si>
  <si>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</si>
  <si>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</si>
  <si>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</si>
  <si>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</si>
  <si>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</si>
  <si>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</si>
  <si>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</si>
  <si>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</si>
  <si>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</si>
  <si>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</si>
  <si>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</si>
  <si>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</si>
  <si>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</si>
  <si>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</si>
  <si>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</si>
  <si>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</si>
  <si>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</si>
  <si>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</si>
  <si>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</si>
  <si>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</si>
  <si>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</si>
  <si>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</si>
  <si>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</si>
  <si>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</si>
  <si>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</si>
  <si>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</si>
  <si>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</si>
  <si>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</si>
  <si>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</si>
  <si>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</si>
  <si>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</si>
  <si>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</si>
  <si>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</si>
  <si>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</si>
  <si>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</si>
  <si>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</si>
  <si>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</si>
  <si>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</si>
  <si>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</si>
  <si>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</si>
  <si>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</si>
  <si>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</si>
  <si>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</si>
  <si>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</si>
  <si>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</si>
  <si>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</si>
  <si>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</si>
  <si>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</si>
  <si>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</si>
  <si>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</si>
  <si>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</si>
  <si>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</si>
  <si>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</si>
  <si>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</si>
  <si>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</si>
  <si>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</si>
  <si>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</si>
  <si>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</si>
  <si>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</si>
  <si>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</si>
  <si>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</si>
  <si>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</si>
  <si>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</si>
  <si>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</si>
  <si>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</si>
  <si>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</si>
  <si>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</si>
  <si>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</si>
  <si>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</si>
  <si>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</si>
  <si>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</si>
  <si>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</si>
  <si>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</si>
  <si>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</si>
  <si>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</si>
  <si>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</si>
  <si>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</si>
  <si>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</si>
  <si>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</si>
  <si>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</si>
  <si>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</si>
  <si>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</si>
  <si>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</si>
  <si>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</si>
  <si>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</si>
  <si>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</si>
  <si>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</si>
  <si>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</si>
  <si>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</si>
  <si>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</si>
  <si>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</si>
  <si>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</si>
  <si>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</si>
  <si>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</si>
  <si>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</si>
  <si>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</si>
  <si>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</si>
  <si>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</si>
  <si>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</si>
  <si>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</si>
  <si>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</si>
  <si>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</si>
  <si>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</si>
  <si>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</si>
  <si>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</si>
  <si>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</si>
  <si>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</si>
  <si>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</si>
  <si>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</si>
  <si>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</si>
  <si>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</si>
  <si>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</si>
  <si>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</si>
  <si>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</si>
  <si>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</si>
  <si>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</si>
  <si>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</si>
  <si>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</si>
  <si>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</si>
  <si>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</si>
  <si>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</si>
  <si>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</si>
  <si>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</si>
  <si>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</si>
  <si>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</si>
  <si>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</si>
  <si>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</si>
  <si>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</si>
  <si>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</si>
  <si>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</si>
  <si>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</si>
  <si>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</si>
  <si>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</si>
  <si>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</si>
  <si>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</si>
  <si>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</si>
  <si>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</si>
  <si>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</si>
  <si>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</si>
  <si>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</si>
  <si>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</si>
  <si>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</si>
  <si>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</si>
  <si>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</si>
  <si>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</si>
  <si>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</si>
  <si>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</si>
  <si>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</si>
  <si>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</si>
  <si>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</si>
  <si>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</si>
  <si>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</si>
  <si>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</si>
  <si>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</si>
  <si>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</si>
  <si>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</si>
  <si>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</si>
  <si>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</si>
  <si>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</si>
  <si>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</si>
  <si>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</si>
  <si>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</si>
  <si>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</si>
  <si>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</si>
  <si>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</si>
  <si>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</si>
  <si>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</si>
  <si>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</si>
  <si>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</si>
  <si>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</si>
  <si>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</si>
  <si>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</si>
  <si>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</si>
  <si>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</si>
  <si>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</si>
  <si>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</si>
  <si>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</si>
  <si>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</si>
  <si>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</si>
  <si>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</si>
  <si>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</si>
  <si>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</si>
  <si>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</si>
  <si>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</si>
  <si>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</si>
  <si>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</si>
  <si>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</si>
  <si>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</si>
  <si>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</si>
  <si>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</si>
  <si>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</si>
  <si>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</si>
  <si>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</si>
  <si>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</si>
  <si>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</si>
  <si>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</si>
  <si>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</si>
  <si>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</si>
  <si>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</si>
  <si>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</si>
  <si>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</si>
  <si>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</si>
  <si>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</si>
  <si>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</si>
  <si>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</si>
  <si>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</si>
  <si>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</si>
  <si>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</si>
  <si>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</si>
  <si>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</si>
  <si>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</si>
  <si>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</si>
  <si>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</si>
  <si>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</si>
  <si>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</si>
  <si>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</si>
  <si>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</si>
  <si>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</si>
  <si>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</si>
  <si>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</si>
  <si>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</si>
  <si>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</si>
  <si>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</si>
  <si>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</si>
  <si>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</si>
  <si>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</si>
  <si>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</si>
  <si>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</si>
  <si>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</si>
  <si>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</si>
  <si>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</si>
  <si>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</si>
  <si>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</si>
  <si>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</si>
  <si>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</si>
  <si>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</si>
  <si>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</si>
  <si>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</si>
  <si>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</si>
  <si>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</si>
  <si>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</si>
  <si>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</si>
  <si>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</si>
  <si>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</si>
  <si>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</si>
  <si>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</si>
  <si>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</si>
  <si>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</si>
  <si>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</si>
  <si>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</si>
  <si>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</si>
  <si>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</si>
  <si>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</si>
  <si>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</si>
  <si>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</si>
  <si>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</si>
  <si>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</si>
  <si>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</si>
  <si>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</si>
  <si>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</si>
  <si>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</si>
  <si>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</si>
  <si>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</si>
  <si>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</si>
  <si>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</si>
  <si>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</si>
  <si>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</si>
  <si>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</si>
  <si>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</si>
  <si>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</si>
  <si>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</si>
  <si>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</si>
  <si>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</si>
  <si>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</si>
  <si>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</si>
  <si>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</si>
  <si>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</si>
  <si>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</si>
  <si>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</si>
  <si>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</si>
  <si>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</si>
  <si>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</si>
  <si>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</si>
  <si>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</si>
  <si>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</si>
  <si>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</si>
  <si>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</si>
  <si>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</si>
  <si>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</si>
  <si>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</si>
  <si>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</si>
  <si>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</si>
  <si>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</si>
  <si>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</si>
  <si>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</si>
  <si>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</si>
  <si>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</si>
  <si>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</si>
  <si>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</si>
  <si>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</si>
  <si>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</si>
  <si>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</si>
  <si>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</si>
  <si>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</si>
  <si>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</si>
  <si>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</si>
  <si>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</si>
  <si>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</si>
  <si>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</si>
  <si>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</si>
  <si>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</si>
  <si>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</si>
  <si>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</si>
  <si>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</si>
  <si>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</si>
  <si>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</si>
  <si>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</si>
  <si>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</si>
  <si>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</si>
  <si>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</si>
  <si>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</si>
  <si>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</si>
  <si>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</si>
  <si>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</si>
  <si>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</si>
  <si>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</si>
  <si>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</si>
  <si>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</si>
  <si>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</si>
  <si>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</si>
  <si>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</si>
  <si>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</si>
  <si>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</si>
  <si>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</si>
  <si>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</si>
  <si>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</si>
  <si>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</si>
  <si>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</si>
  <si>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</si>
  <si>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</si>
  <si>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</si>
  <si>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</si>
  <si>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</si>
  <si>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</si>
  <si>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</si>
  <si>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</si>
  <si>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</si>
  <si>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</si>
  <si>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</si>
  <si>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</si>
  <si>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</si>
  <si>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</si>
  <si>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</si>
  <si>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</si>
  <si>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</si>
  <si>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</si>
  <si>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</si>
  <si>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</si>
  <si>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</si>
  <si>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</si>
  <si>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</si>
  <si>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</si>
  <si>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</si>
  <si>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</si>
  <si>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</si>
  <si>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</si>
  <si>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</si>
  <si>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</si>
  <si>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</si>
  <si>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</si>
  <si>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</si>
  <si>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</si>
  <si>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</si>
  <si>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</si>
  <si>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</si>
  <si>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</si>
  <si>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</si>
  <si>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</si>
  <si>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</si>
  <si>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</si>
  <si>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</si>
  <si>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</si>
  <si>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</si>
  <si>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</si>
  <si>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</si>
  <si>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</si>
  <si>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</si>
  <si>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</si>
  <si>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</si>
  <si>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</si>
  <si>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</si>
  <si>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</si>
  <si>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</si>
  <si>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</si>
  <si>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</si>
  <si>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</si>
  <si>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</si>
  <si>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</si>
  <si>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</si>
  <si>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</si>
  <si>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</si>
  <si>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</si>
  <si>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</si>
  <si>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</si>
  <si>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</si>
  <si>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</si>
  <si>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</si>
  <si>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</si>
  <si>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</si>
  <si>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</si>
  <si>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</si>
  <si>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</si>
  <si>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</si>
  <si>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</si>
  <si>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</si>
  <si>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</si>
  <si>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</si>
  <si>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</si>
  <si>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</si>
  <si>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</si>
  <si>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</si>
  <si>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</si>
  <si>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</si>
  <si>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</si>
  <si>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</si>
  <si>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</si>
  <si>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</si>
  <si>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</si>
  <si>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</si>
  <si>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</si>
  <si>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</si>
  <si>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</si>
  <si>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</si>
  <si>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</si>
  <si>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</si>
  <si>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</si>
  <si>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</si>
  <si>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</si>
  <si>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</si>
  <si>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</si>
  <si>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</si>
  <si>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</si>
  <si>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</si>
  <si>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</si>
  <si>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</si>
  <si>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</si>
  <si>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</si>
  <si>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</si>
  <si>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</si>
  <si>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</si>
  <si>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</si>
  <si>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</si>
  <si>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</si>
  <si>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</si>
  <si>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</si>
  <si>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</si>
  <si>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</si>
  <si>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</si>
  <si>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</si>
  <si>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</si>
  <si>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</si>
  <si>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</si>
  <si>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</si>
  <si>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</si>
  <si>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</si>
  <si>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</si>
  <si>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</si>
  <si>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</si>
  <si>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</si>
  <si>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</si>
  <si>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</si>
  <si>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</si>
  <si>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</si>
  <si>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</si>
  <si>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</si>
  <si>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</si>
  <si>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</si>
  <si>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</si>
  <si>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</si>
  <si>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</si>
  <si>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</si>
  <si>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</si>
  <si>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</si>
  <si>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</si>
  <si>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</si>
  <si>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</si>
  <si>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</si>
  <si>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</si>
  <si>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</si>
  <si>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</si>
  <si>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</si>
  <si>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</si>
  <si>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</si>
  <si>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</si>
  <si>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</si>
  <si>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</si>
  <si>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</si>
  <si>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</si>
  <si>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</si>
  <si>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</si>
  <si>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</si>
  <si>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</si>
  <si>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</si>
  <si>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</si>
  <si>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</si>
  <si>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</si>
  <si>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</si>
  <si>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</si>
  <si>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</si>
  <si>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</si>
  <si>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</si>
  <si>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</si>
  <si>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</si>
  <si>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</si>
  <si>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</si>
  <si>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</si>
  <si>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</si>
  <si>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</si>
  <si>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</si>
  <si>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</si>
  <si>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</si>
  <si>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</si>
  <si>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</si>
  <si>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</si>
  <si>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</si>
  <si>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</si>
  <si>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</si>
  <si>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</si>
  <si>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</si>
  <si>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</si>
  <si>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</si>
  <si>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</si>
  <si>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</si>
  <si>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</si>
  <si>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</si>
  <si>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</si>
  <si>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</si>
  <si>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</si>
  <si>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</si>
  <si>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</si>
  <si>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</si>
  <si>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</si>
  <si>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</si>
  <si>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</si>
  <si>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</si>
  <si>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</si>
  <si>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</si>
  <si>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</si>
  <si>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</si>
  <si>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</si>
  <si>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</si>
  <si>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</si>
  <si>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</si>
  <si>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</si>
  <si>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</si>
  <si>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</si>
  <si>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</si>
  <si>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</si>
  <si>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</si>
  <si>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</si>
  <si>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</si>
  <si>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</si>
  <si>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</si>
  <si>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</si>
  <si>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</si>
  <si>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</si>
  <si>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</si>
  <si>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</si>
  <si>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</si>
  <si>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</si>
  <si>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</si>
  <si>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</si>
  <si>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</si>
  <si>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</si>
  <si>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</si>
  <si>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</si>
  <si>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</si>
  <si>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</si>
  <si>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</si>
  <si>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</si>
  <si>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</si>
  <si>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</si>
  <si>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</si>
  <si>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</si>
  <si>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</si>
  <si>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</si>
  <si>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</si>
  <si>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</si>
  <si>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</si>
  <si>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</si>
  <si>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</si>
  <si>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</si>
  <si>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</si>
  <si>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</si>
  <si>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</si>
  <si>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</si>
  <si>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</si>
  <si>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</si>
  <si>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</si>
  <si>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</si>
  <si>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</si>
  <si>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</si>
  <si>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</si>
  <si>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</si>
  <si>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</si>
  <si>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</si>
  <si>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</si>
  <si>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</si>
  <si>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</si>
  <si>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</si>
  <si>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</si>
  <si>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</si>
  <si>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</si>
  <si>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</si>
  <si>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</si>
  <si>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</si>
  <si>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</si>
  <si>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</si>
  <si>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</si>
  <si>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</si>
  <si>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</si>
  <si>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</si>
  <si>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</si>
  <si>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</si>
  <si>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</si>
  <si>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</si>
  <si>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</si>
  <si>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</si>
  <si>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</si>
  <si>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</si>
  <si>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</si>
  <si>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</si>
  <si>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</si>
  <si>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</si>
  <si>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</si>
  <si>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</si>
  <si>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</si>
  <si>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</si>
  <si>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</si>
  <si>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</si>
  <si>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</si>
  <si>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</si>
  <si>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</si>
  <si>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</si>
  <si>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</si>
  <si>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</si>
  <si>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</si>
  <si>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</si>
  <si>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</si>
  <si>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</si>
  <si>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</si>
  <si>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</si>
  <si>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</si>
  <si>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</si>
  <si>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</si>
  <si>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</si>
  <si>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</si>
  <si>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</si>
  <si>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</si>
  <si>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</si>
  <si>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</si>
  <si>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</si>
  <si>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</si>
  <si>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</si>
  <si>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</si>
  <si>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</si>
  <si>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</si>
  <si>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</si>
  <si>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</si>
  <si>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</si>
  <si>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</si>
  <si>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</si>
  <si>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</si>
  <si>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</si>
  <si>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</si>
  <si>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</si>
  <si>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</si>
  <si>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</si>
  <si>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</si>
  <si>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</si>
  <si>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</si>
  <si>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</si>
  <si>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</si>
  <si>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</si>
  <si>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</si>
  <si>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</si>
  <si>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</si>
  <si>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</si>
  <si>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</si>
  <si>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</si>
  <si>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</si>
  <si>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</si>
  <si>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</si>
  <si>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</si>
  <si>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</si>
  <si>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</si>
  <si>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</si>
  <si>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</si>
  <si>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</si>
  <si>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</si>
  <si>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</si>
  <si>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</si>
  <si>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</si>
  <si>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</si>
  <si>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</si>
  <si>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</si>
  <si>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</si>
  <si>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</si>
  <si>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</si>
  <si>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</si>
  <si>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</si>
  <si>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</si>
  <si>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</si>
  <si>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</si>
  <si>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</si>
  <si>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</si>
  <si>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</si>
  <si>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</si>
  <si>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</si>
  <si>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</si>
  <si>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</si>
  <si>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</si>
  <si>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</si>
  <si>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</si>
  <si>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</si>
  <si>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</si>
  <si>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</si>
  <si>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</si>
  <si>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</si>
  <si>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</si>
  <si>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</si>
  <si>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</si>
  <si>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</si>
  <si>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</si>
  <si>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</si>
  <si>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</si>
  <si>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</si>
  <si>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</si>
  <si>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</si>
  <si>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</si>
  <si>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</si>
  <si>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</si>
  <si>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</si>
  <si>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</si>
  <si>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</si>
  <si>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</si>
  <si>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</si>
  <si>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</si>
  <si>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</si>
  <si>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</si>
  <si>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</si>
  <si>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</si>
  <si>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</si>
  <si>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</si>
  <si>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</si>
  <si>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</si>
  <si>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</si>
  <si>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</si>
  <si>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</si>
  <si>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</si>
  <si>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</si>
  <si>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</si>
  <si>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</si>
  <si>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</si>
  <si>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</si>
  <si>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</si>
  <si>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</si>
  <si>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</si>
  <si>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</si>
  <si>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</si>
  <si>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</si>
  <si>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</si>
  <si>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</si>
  <si>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</si>
  <si>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</si>
  <si>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</si>
  <si>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</si>
  <si>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</si>
  <si>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</si>
  <si>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</si>
  <si>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</si>
  <si>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</si>
  <si>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</si>
  <si>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</si>
  <si>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</si>
  <si>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</si>
  <si>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</si>
  <si>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</si>
  <si>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</si>
  <si>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</si>
  <si>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</si>
  <si>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</si>
  <si>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</si>
  <si>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</si>
  <si>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</si>
  <si>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</si>
  <si>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</si>
  <si>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</si>
  <si>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</si>
  <si>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</si>
  <si>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</si>
  <si>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</si>
  <si>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</si>
  <si>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</si>
  <si>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</si>
  <si>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</si>
  <si>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</si>
  <si>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</si>
  <si>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</si>
  <si>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</si>
  <si>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</si>
  <si>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</si>
  <si>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</si>
  <si>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</si>
  <si>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</si>
  <si>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</si>
  <si>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</si>
  <si>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</si>
  <si>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</si>
  <si>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</si>
  <si>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</si>
  <si>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</si>
  <si>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</si>
  <si>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</si>
  <si>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</si>
  <si>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</si>
  <si>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</si>
  <si>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</si>
  <si>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</si>
  <si>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</si>
  <si>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</si>
  <si>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</si>
  <si>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</si>
  <si>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</si>
  <si>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</si>
  <si>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</si>
  <si>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</si>
  <si>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</si>
  <si>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</si>
  <si>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</si>
  <si>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</si>
  <si>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</si>
  <si>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</si>
  <si>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</si>
  <si>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</si>
  <si>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</si>
  <si>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</si>
  <si>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</si>
  <si>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</si>
  <si>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</si>
  <si>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</si>
  <si>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</si>
  <si>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</si>
  <si>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</si>
  <si>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</si>
  <si>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</si>
  <si>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</si>
  <si>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</si>
  <si>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</si>
  <si>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</si>
  <si>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</si>
  <si>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</si>
  <si>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</si>
  <si>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</si>
  <si>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</si>
  <si>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</si>
  <si>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</si>
  <si>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</si>
  <si>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</si>
  <si>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</si>
  <si>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</si>
  <si>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</si>
  <si>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</si>
  <si>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</si>
  <si>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</si>
  <si>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</si>
  <si>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</si>
  <si>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</si>
  <si>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</si>
  <si>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</si>
  <si>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</si>
  <si>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</si>
  <si>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</si>
  <si>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</si>
  <si>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</si>
  <si>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</si>
  <si>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</si>
  <si>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</si>
  <si>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</si>
  <si>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</si>
  <si>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</si>
  <si>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</si>
  <si>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</si>
  <si>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</si>
  <si>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</si>
  <si>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</si>
  <si>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</si>
  <si>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</si>
  <si>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</si>
  <si>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</si>
  <si>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</si>
  <si>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</si>
  <si>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</si>
  <si>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</si>
  <si>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</si>
  <si>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</si>
  <si>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</si>
  <si>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</si>
  <si>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</si>
  <si>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</si>
  <si>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</si>
  <si>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</si>
  <si>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</si>
  <si>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</si>
  <si>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</si>
  <si>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</si>
  <si>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</si>
  <si>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</si>
  <si>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</si>
  <si>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</si>
  <si>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</si>
  <si>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</si>
  <si>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</si>
  <si>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</si>
  <si>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</si>
  <si>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</si>
  <si>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</si>
  <si>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</si>
  <si>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</si>
  <si>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</si>
  <si>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</si>
  <si>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</si>
  <si>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</si>
  <si>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</si>
  <si>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</si>
  <si>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</si>
  <si>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</si>
  <si>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</si>
  <si>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</si>
  <si>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</si>
  <si>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</si>
  <si>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</si>
  <si>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</si>
  <si>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</si>
  <si>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</si>
  <si>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</si>
  <si>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</si>
  <si>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</si>
  <si>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</si>
  <si>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</si>
  <si>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</si>
  <si>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</si>
  <si>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</si>
  <si>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</si>
  <si>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</si>
  <si>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</si>
  <si>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</si>
  <si>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</si>
  <si>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</si>
  <si>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</si>
  <si>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</si>
  <si>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</si>
  <si>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</si>
  <si>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</si>
  <si>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</si>
  <si>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</si>
  <si>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</si>
  <si>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</si>
  <si>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</si>
  <si>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</si>
  <si>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</si>
  <si>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</si>
  <si>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</si>
  <si>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</si>
  <si>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</si>
  <si>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</si>
  <si>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</si>
  <si>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</si>
  <si>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</si>
  <si>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</si>
  <si>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</si>
  <si>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</si>
  <si>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</si>
  <si>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</si>
  <si>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</si>
  <si>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</si>
  <si>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</si>
  <si>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</si>
  <si>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</si>
  <si>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</si>
  <si>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</si>
  <si>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</si>
  <si>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</si>
  <si>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</si>
  <si>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</si>
  <si>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</si>
  <si>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</si>
  <si>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</si>
  <si>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</si>
  <si>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</si>
  <si>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</si>
  <si>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</si>
  <si>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</si>
  <si>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</si>
  <si>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</si>
  <si>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</si>
  <si>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</si>
  <si>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</si>
  <si>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</si>
  <si>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</si>
  <si>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</si>
  <si>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</si>
  <si>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</si>
  <si>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</si>
  <si>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</si>
  <si>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</si>
  <si>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</si>
  <si>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</si>
  <si>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</si>
  <si>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</si>
  <si>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</si>
  <si>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</si>
  <si>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</si>
  <si>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</si>
  <si>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</si>
  <si>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</si>
  <si>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</si>
  <si>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</si>
  <si>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</si>
  <si>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</si>
  <si>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</si>
  <si>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</si>
  <si>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</si>
  <si>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</si>
  <si>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</si>
  <si>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</si>
  <si>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</si>
  <si>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</si>
  <si>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</si>
  <si>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</si>
  <si>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</si>
  <si>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</si>
  <si>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</si>
  <si>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</si>
  <si>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</si>
  <si>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</si>
  <si>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</si>
  <si>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</si>
  <si>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</si>
  <si>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</si>
  <si>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</si>
  <si>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</si>
  <si>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</si>
  <si>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</si>
  <si>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</si>
  <si>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</si>
  <si>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</si>
  <si>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</si>
  <si>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</si>
  <si>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</si>
  <si>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</si>
  <si>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</si>
  <si>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</si>
  <si>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</si>
  <si>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</si>
  <si>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</si>
  <si>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</si>
  <si>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</si>
  <si>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</si>
  <si>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</si>
  <si>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</si>
  <si>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</si>
  <si>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</si>
  <si>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</si>
  <si>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</si>
  <si>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</si>
  <si>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</si>
  <si>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</si>
  <si>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</si>
  <si>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</si>
  <si>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</si>
  <si>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</si>
  <si>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</si>
  <si>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</si>
  <si>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</si>
  <si>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</si>
  <si>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</si>
  <si>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</si>
  <si>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</si>
  <si>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</si>
  <si>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</si>
  <si>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</si>
  <si>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</si>
  <si>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</si>
  <si>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</si>
  <si>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</si>
  <si>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</si>
  <si>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</si>
  <si>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</si>
  <si>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</si>
  <si>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</si>
  <si>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</si>
  <si>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</si>
  <si>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</si>
  <si>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</si>
  <si>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</si>
  <si>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</si>
  <si>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</si>
  <si>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</si>
  <si>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</si>
  <si>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</si>
  <si>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</si>
  <si>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</si>
  <si>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</si>
  <si>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</si>
  <si>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</si>
  <si>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</si>
  <si>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</si>
  <si>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</si>
  <si>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</si>
  <si>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</si>
  <si>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</si>
  <si>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</si>
  <si>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</si>
  <si>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</si>
  <si>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</si>
  <si>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</si>
  <si>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</si>
  <si>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</si>
  <si>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</si>
  <si>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</si>
  <si>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</si>
  <si>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</si>
  <si>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</si>
  <si>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</si>
  <si>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</si>
  <si>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</si>
  <si>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</si>
  <si>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</si>
  <si>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</si>
  <si>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</si>
  <si>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</si>
  <si>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</si>
  <si>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</si>
  <si>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</si>
  <si>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</si>
  <si>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</si>
  <si>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</si>
  <si>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</si>
  <si>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</si>
  <si>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</si>
  <si>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</si>
  <si>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</si>
  <si>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</si>
  <si>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</si>
  <si>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</si>
  <si>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</si>
  <si>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</si>
  <si>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</si>
  <si>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</si>
  <si>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</si>
  <si>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</si>
  <si>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</si>
  <si>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</si>
  <si>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</si>
  <si>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</si>
  <si>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</si>
  <si>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</si>
  <si>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</si>
  <si>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</si>
  <si>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</si>
  <si>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</si>
  <si>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</si>
  <si>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</si>
  <si>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</si>
  <si>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</si>
  <si>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</si>
  <si>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</si>
  <si>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</si>
  <si>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</si>
  <si>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</si>
  <si>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</si>
  <si>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</si>
  <si>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</si>
  <si>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</si>
  <si>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</si>
  <si>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</si>
  <si>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</si>
  <si>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</si>
  <si>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</si>
  <si>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</si>
  <si>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</si>
  <si>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</si>
  <si>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</si>
  <si>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</si>
  <si>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</si>
  <si>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</si>
  <si>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</si>
  <si>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</si>
  <si>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</si>
  <si>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</si>
  <si>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</si>
  <si>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</si>
  <si>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</si>
  <si>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</si>
  <si>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</si>
  <si>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</si>
  <si>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</si>
  <si>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</si>
  <si>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</si>
  <si>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</si>
  <si>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</si>
  <si>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</si>
  <si>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</si>
  <si>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</si>
  <si>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</si>
  <si>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</si>
  <si>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</si>
  <si>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</si>
  <si>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</si>
  <si>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</si>
  <si>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</si>
  <si>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</si>
  <si>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</si>
  <si>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</si>
  <si>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</si>
  <si>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</si>
  <si>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</si>
  <si>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</si>
  <si>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</si>
  <si>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</si>
  <si>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</si>
  <si>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</si>
  <si>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</si>
  <si>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</si>
  <si>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</si>
  <si>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</si>
  <si>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</si>
  <si>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</si>
  <si>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</si>
  <si>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</si>
  <si>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</si>
  <si>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</si>
  <si>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</si>
  <si>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</si>
  <si>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</si>
  <si>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</si>
  <si>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</si>
  <si>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</si>
  <si>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</si>
  <si>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</si>
  <si>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</si>
  <si>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</si>
  <si>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</si>
  <si>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</si>
  <si>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</si>
  <si>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</si>
  <si>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</si>
  <si>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</si>
  <si>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</si>
  <si>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</si>
  <si>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</si>
  <si>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</si>
  <si>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</si>
  <si>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</si>
  <si>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</si>
  <si>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</si>
  <si>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</si>
  <si>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</si>
  <si>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</si>
  <si>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</si>
  <si>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</si>
  <si>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</si>
  <si>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</si>
  <si>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</si>
  <si>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</si>
  <si>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</si>
  <si>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</si>
  <si>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</si>
  <si>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</si>
  <si>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</si>
  <si>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</si>
  <si>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</si>
  <si>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</si>
  <si>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</si>
  <si>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</si>
  <si>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</si>
  <si>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</si>
  <si>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</si>
  <si>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</si>
  <si>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</si>
  <si>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</si>
  <si>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</si>
  <si>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</si>
  <si>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</si>
  <si>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</si>
  <si>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</si>
  <si>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</si>
  <si>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</si>
  <si>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</si>
  <si>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</si>
  <si>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</si>
  <si>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</si>
  <si>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</si>
  <si>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</si>
  <si>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</si>
  <si>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</si>
  <si>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</si>
  <si>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</si>
  <si>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</si>
  <si>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</si>
  <si>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</si>
  <si>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</si>
  <si>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</si>
  <si>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</si>
  <si>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</si>
  <si>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</si>
  <si>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</si>
  <si>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</si>
  <si>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</si>
  <si>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</si>
  <si>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</si>
  <si>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</si>
  <si>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</si>
  <si>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</si>
  <si>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</si>
  <si>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</si>
  <si>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</si>
  <si>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</si>
  <si>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</si>
  <si>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</si>
  <si>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</si>
  <si>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</si>
  <si>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</si>
  <si>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</si>
  <si>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</si>
  <si>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</si>
  <si>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</si>
  <si>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</si>
  <si>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</si>
  <si>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</si>
  <si>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</si>
  <si>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</si>
  <si>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</si>
  <si>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</si>
  <si>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</si>
  <si>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</si>
  <si>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</si>
  <si>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</si>
  <si>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</si>
  <si>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</si>
  <si>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</si>
  <si>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</si>
  <si>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</si>
  <si>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</si>
  <si>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</si>
  <si>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</si>
  <si>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</si>
  <si>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</si>
  <si>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</si>
  <si>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</si>
  <si>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</si>
  <si>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</si>
  <si>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</si>
  <si>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</si>
  <si>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</si>
  <si>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</si>
  <si>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</si>
  <si>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</si>
  <si>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</si>
  <si>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</si>
  <si>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</si>
  <si>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</si>
  <si>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</si>
  <si>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</si>
  <si>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</si>
  <si>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</si>
  <si>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</si>
  <si>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</si>
  <si>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</si>
  <si>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</si>
  <si>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</si>
  <si>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</si>
  <si>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</si>
  <si>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</si>
  <si>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</si>
  <si>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</si>
  <si>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</si>
  <si>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</si>
  <si>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</si>
  <si>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</si>
  <si>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</si>
  <si>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</si>
  <si>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</si>
  <si>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</si>
  <si>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</si>
  <si>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</si>
  <si>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</si>
  <si>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</si>
  <si>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</si>
  <si>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</si>
  <si>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</si>
  <si>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</si>
  <si>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</si>
  <si>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</si>
  <si>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</si>
  <si>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</si>
  <si>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</si>
  <si>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</si>
  <si>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</si>
  <si>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</si>
  <si>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</si>
  <si>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</si>
  <si>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</si>
  <si>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</si>
  <si>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</si>
  <si>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</si>
  <si>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</si>
  <si>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</si>
  <si>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</si>
  <si>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</si>
  <si>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</si>
  <si>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</si>
  <si>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</si>
  <si>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</si>
  <si>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</si>
  <si>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</si>
  <si>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</si>
  <si>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</si>
  <si>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</si>
  <si>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</si>
  <si>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</si>
  <si>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</si>
  <si>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</si>
  <si>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</si>
  <si>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</si>
  <si>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</si>
  <si>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</si>
  <si>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</si>
  <si>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</si>
  <si>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</si>
  <si>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</si>
  <si>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</si>
  <si>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</si>
  <si>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</si>
  <si>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</si>
  <si>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</si>
  <si>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</si>
  <si>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</si>
  <si>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</si>
  <si>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</si>
  <si>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</si>
  <si>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</si>
  <si>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</si>
  <si>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</si>
  <si>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</si>
  <si>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</si>
  <si>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</si>
  <si>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</si>
  <si>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</si>
  <si>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</si>
  <si>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</si>
  <si>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</si>
  <si>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</si>
  <si>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</si>
  <si>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</si>
  <si>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</si>
  <si>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</si>
  <si>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</si>
  <si>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</si>
  <si>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</si>
  <si>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</si>
  <si>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</si>
  <si>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</si>
  <si>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</si>
  <si>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</si>
  <si>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</si>
  <si>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</si>
  <si>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</si>
  <si>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</si>
  <si>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</si>
  <si>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</si>
  <si>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</si>
  <si>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</si>
  <si>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</si>
  <si>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</si>
  <si>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</si>
  <si>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</si>
  <si>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</si>
  <si>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</si>
  <si>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</si>
  <si>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</si>
  <si>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</si>
  <si>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</si>
  <si>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</si>
  <si>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</si>
  <si>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</si>
  <si>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</si>
  <si>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</si>
  <si>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</si>
  <si>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</si>
  <si>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</si>
  <si>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</si>
  <si>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</si>
  <si>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</si>
  <si>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</si>
  <si>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</si>
  <si>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</si>
  <si>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</si>
  <si>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</si>
  <si>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</si>
  <si>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</si>
  <si>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</si>
  <si>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</si>
  <si>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</si>
  <si>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</si>
  <si>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</si>
  <si>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</si>
  <si>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</si>
  <si>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</si>
  <si>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</si>
  <si>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</si>
  <si>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</si>
  <si>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</si>
  <si>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</si>
  <si>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</si>
  <si>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</si>
  <si>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</si>
  <si>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</si>
  <si>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</si>
  <si>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</si>
  <si>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</si>
  <si>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</si>
  <si>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</si>
  <si>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</si>
  <si>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</si>
  <si>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</si>
  <si>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</si>
  <si>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</si>
  <si>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</si>
  <si>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</si>
  <si>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</si>
  <si>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</si>
  <si>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</si>
  <si>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</si>
  <si>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</si>
  <si>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</si>
  <si>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</si>
  <si>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</si>
  <si>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</si>
  <si>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</si>
  <si>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</si>
  <si>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</si>
  <si>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</si>
  <si>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</si>
  <si>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</si>
  <si>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</si>
  <si>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</si>
  <si>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</si>
  <si>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</si>
  <si>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</si>
  <si>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</si>
  <si>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</si>
  <si>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</si>
  <si>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</si>
  <si>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</si>
  <si>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</si>
  <si>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</si>
  <si>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</si>
  <si>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</si>
  <si>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</si>
  <si>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</si>
  <si>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</si>
  <si>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</si>
  <si>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</si>
  <si>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</si>
  <si>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</si>
  <si>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</si>
  <si>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</si>
  <si>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</si>
  <si>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</si>
  <si>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</si>
  <si>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</si>
  <si>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</si>
  <si>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</si>
  <si>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</si>
  <si>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</si>
  <si>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</si>
  <si>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</si>
  <si>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</si>
  <si>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</si>
  <si>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</si>
  <si>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</si>
  <si>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</si>
  <si>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</si>
  <si>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</si>
  <si>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</si>
  <si>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</si>
  <si>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</si>
  <si>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</si>
  <si>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</si>
  <si>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</si>
  <si>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</si>
  <si>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</si>
  <si>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</si>
  <si>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</si>
  <si>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</si>
  <si>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</si>
  <si>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</si>
  <si>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</si>
  <si>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</si>
  <si>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</si>
  <si>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</si>
  <si>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</si>
  <si>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</si>
  <si>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</si>
  <si>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</si>
  <si>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</si>
  <si>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</si>
  <si>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</si>
  <si>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</si>
  <si>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</si>
  <si>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</si>
  <si>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</si>
  <si>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</si>
  <si>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</si>
  <si>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</si>
  <si>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</si>
  <si>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</si>
  <si>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</si>
  <si>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</si>
  <si>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</si>
  <si>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</si>
  <si>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</si>
  <si>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</si>
  <si>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</si>
  <si>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</si>
  <si>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</si>
  <si>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</si>
  <si>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</si>
  <si>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</si>
  <si>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</si>
  <si>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</si>
  <si>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</si>
  <si>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</si>
  <si>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</si>
  <si>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</si>
  <si>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</si>
  <si>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</si>
  <si>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</si>
  <si>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</si>
  <si>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</si>
  <si>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</si>
  <si>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</si>
  <si>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</si>
  <si>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</si>
  <si>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</si>
  <si>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</si>
  <si>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</si>
  <si>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</si>
  <si>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</si>
  <si>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</si>
  <si>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</si>
  <si>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</si>
  <si>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</si>
  <si>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</si>
  <si>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</si>
  <si>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</si>
  <si>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</si>
  <si>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</si>
  <si>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</si>
  <si>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</si>
  <si>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</si>
  <si>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</si>
  <si>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</si>
  <si>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</si>
  <si>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</si>
  <si>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</si>
  <si>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</si>
  <si>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</si>
  <si>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</si>
  <si>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</si>
  <si>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</si>
  <si>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</si>
  <si>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</si>
  <si>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</si>
  <si>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</si>
  <si>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</si>
  <si>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</si>
  <si>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</si>
  <si>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</si>
  <si>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</si>
  <si>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</si>
  <si>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</si>
  <si>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</si>
  <si>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</si>
  <si>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</si>
  <si>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</si>
  <si>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</si>
  <si>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</si>
  <si>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</si>
  <si>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</si>
  <si>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</si>
  <si>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</si>
  <si>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</si>
  <si>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</si>
  <si>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</si>
  <si>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</si>
  <si>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</si>
  <si>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</si>
  <si>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</si>
  <si>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</si>
  <si>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</si>
  <si>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</si>
  <si>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</si>
  <si>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</si>
  <si>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</si>
  <si>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</si>
  <si>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</si>
  <si>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</si>
  <si>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</si>
  <si>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</si>
  <si>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</si>
  <si>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</si>
  <si>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</si>
  <si>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</si>
  <si>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</si>
  <si>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</si>
  <si>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</si>
  <si>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</si>
  <si>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</si>
  <si>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</si>
  <si>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</si>
  <si>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</si>
  <si>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</si>
  <si>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</si>
  <si>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</si>
  <si>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</si>
  <si>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</si>
  <si>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</si>
  <si>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</si>
  <si>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</si>
  <si>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</si>
  <si>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</si>
  <si>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</si>
  <si>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</si>
  <si>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</si>
  <si>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</si>
  <si>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</si>
  <si>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</si>
  <si>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</si>
  <si>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</si>
  <si>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</si>
  <si>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</si>
  <si>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</si>
  <si>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</si>
  <si>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</si>
  <si>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</si>
  <si>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</si>
  <si>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</si>
  <si>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</si>
  <si>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</si>
  <si>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</si>
  <si>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</si>
  <si>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</si>
  <si>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</si>
  <si>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</si>
  <si>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</si>
  <si>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</si>
  <si>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</si>
  <si>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</si>
  <si>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</si>
  <si>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</si>
  <si>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</si>
  <si>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</si>
  <si>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</si>
  <si>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</si>
  <si>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</si>
  <si>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</si>
  <si>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</si>
  <si>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</si>
  <si>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</si>
  <si>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</si>
  <si>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</si>
  <si>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</si>
  <si>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</si>
  <si>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</si>
  <si>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</si>
  <si>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</si>
  <si>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</si>
  <si>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</si>
  <si>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</si>
  <si>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</si>
  <si>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</si>
  <si>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</si>
  <si>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</si>
  <si>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</si>
  <si>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</si>
  <si>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</si>
  <si>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</si>
  <si>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</si>
  <si>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</si>
  <si>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</si>
  <si>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</si>
  <si>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</si>
  <si>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</si>
  <si>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</si>
  <si>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</si>
  <si>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</si>
  <si>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</si>
  <si>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</si>
  <si>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</si>
  <si>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</si>
  <si>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</si>
  <si>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</si>
  <si>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</si>
  <si>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</si>
  <si>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</si>
  <si>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</si>
  <si>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</si>
  <si>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</si>
  <si>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</si>
  <si>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</si>
  <si>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</si>
  <si>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</si>
  <si>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</si>
  <si>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</si>
  <si>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</si>
  <si>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</si>
  <si>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</si>
  <si>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</si>
  <si>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</si>
  <si>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</si>
  <si>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</si>
  <si>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</si>
  <si>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</si>
  <si>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</si>
  <si>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</si>
  <si>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</si>
  <si>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</si>
  <si>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</si>
  <si>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</si>
  <si>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</si>
  <si>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</si>
  <si>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</si>
  <si>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</si>
  <si>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</si>
  <si>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</si>
  <si>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</si>
  <si>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</si>
  <si>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</si>
  <si>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</si>
  <si>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</si>
  <si>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</si>
  <si>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</si>
  <si>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</si>
  <si>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</si>
  <si>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</si>
  <si>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</si>
  <si>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</si>
  <si>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</si>
  <si>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</si>
  <si>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</si>
  <si>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</si>
  <si>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</si>
  <si>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</si>
  <si>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</si>
  <si>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</si>
  <si>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</si>
  <si>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</si>
  <si>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</si>
  <si>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</si>
  <si>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</si>
  <si>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</si>
  <si>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</si>
  <si>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</si>
  <si>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</si>
  <si>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</si>
  <si>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</si>
  <si>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</si>
  <si>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</si>
  <si>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</si>
  <si>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</si>
  <si>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</si>
  <si>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</si>
  <si>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</si>
  <si>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</si>
  <si>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</si>
  <si>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</si>
  <si>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</si>
  <si>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</si>
  <si>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</si>
  <si>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</si>
  <si>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</si>
  <si>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</si>
  <si>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</si>
  <si>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</si>
  <si>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</si>
  <si>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</si>
  <si>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</si>
  <si>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</si>
  <si>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</si>
  <si>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</si>
  <si>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</si>
  <si>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</si>
  <si>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</si>
  <si>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</si>
  <si>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</si>
  <si>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</si>
  <si>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</si>
  <si>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</si>
  <si>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</si>
  <si>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</si>
  <si>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</si>
  <si>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</si>
  <si>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</si>
  <si>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</si>
  <si>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</si>
  <si>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</si>
  <si>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</si>
  <si>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</si>
  <si>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</si>
  <si>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</si>
  <si>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</si>
  <si>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</si>
  <si>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</si>
  <si>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</si>
  <si>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</si>
  <si>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</si>
  <si>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</si>
  <si>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</si>
  <si>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</si>
  <si>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</si>
  <si>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</si>
  <si>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</si>
  <si>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</si>
  <si>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</si>
  <si>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</si>
  <si>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</si>
  <si>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</si>
  <si>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</si>
  <si>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</si>
  <si>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</si>
  <si>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</si>
  <si>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</si>
  <si>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</si>
  <si>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</si>
  <si>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</si>
  <si>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</si>
  <si>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</si>
  <si>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</si>
  <si>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</si>
  <si>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</si>
  <si>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</si>
  <si>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</si>
  <si>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</si>
  <si>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</si>
  <si>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</si>
  <si>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</si>
  <si>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</si>
  <si>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</si>
  <si>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</si>
  <si>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</si>
  <si>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</si>
  <si>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</si>
  <si>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</si>
  <si>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</si>
  <si>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</si>
  <si>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</si>
  <si>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</si>
  <si>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</si>
  <si>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</si>
  <si>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</si>
  <si>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</si>
  <si>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</si>
  <si>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</si>
  <si>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</si>
  <si>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</si>
  <si>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</si>
  <si>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</si>
  <si>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</si>
  <si>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</si>
  <si>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</si>
  <si>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</si>
  <si>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</si>
  <si>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</si>
  <si>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</si>
  <si>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</si>
  <si>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</si>
  <si>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</si>
  <si>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</si>
  <si>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</si>
  <si>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</si>
  <si>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</si>
  <si>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</si>
  <si>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</si>
  <si>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</si>
  <si>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</si>
  <si>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</si>
  <si>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</si>
  <si>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</si>
  <si>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</si>
  <si>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</si>
  <si>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</si>
  <si>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</si>
  <si>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</si>
  <si>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</si>
  <si>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</si>
  <si>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</si>
  <si>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</si>
  <si>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</si>
  <si>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</si>
  <si>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</si>
  <si>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</si>
  <si>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</si>
  <si>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</si>
  <si>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</si>
  <si>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</si>
  <si>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</si>
  <si>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</si>
  <si>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</si>
  <si>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</si>
  <si>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</si>
  <si>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</si>
  <si>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</si>
  <si>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</si>
  <si>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</si>
  <si>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</si>
  <si>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</si>
  <si>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</si>
  <si>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</si>
  <si>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</si>
  <si>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</si>
  <si>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</si>
  <si>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</si>
  <si>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</si>
  <si>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</si>
  <si>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</si>
  <si>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</si>
  <si>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</si>
  <si>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</si>
  <si>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</si>
  <si>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</si>
  <si>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</si>
  <si>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</si>
  <si>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</si>
  <si>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</si>
  <si>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</si>
  <si>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</si>
  <si>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</si>
  <si>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</si>
  <si>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</si>
  <si>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</si>
  <si>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</si>
  <si>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</si>
  <si>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</si>
  <si>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</si>
  <si>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</si>
  <si>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</si>
  <si>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</si>
  <si>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</si>
  <si>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</si>
  <si>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</si>
  <si>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</si>
  <si>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</si>
  <si>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</si>
  <si>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</si>
  <si>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</si>
  <si>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</si>
  <si>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</si>
  <si>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</si>
  <si>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</si>
  <si>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</si>
  <si>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</si>
  <si>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</si>
  <si>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</si>
  <si>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</si>
  <si>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</si>
  <si>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</si>
  <si>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</si>
  <si>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</si>
  <si>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</si>
  <si>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</si>
  <si>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</si>
  <si>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</si>
  <si>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</si>
  <si>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</si>
  <si>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</si>
  <si>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</si>
  <si>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</si>
  <si>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</si>
  <si>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</si>
  <si>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</si>
  <si>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</si>
  <si>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</si>
  <si>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</si>
  <si>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</si>
  <si>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</si>
  <si>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</si>
  <si>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</si>
  <si>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</si>
  <si>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</si>
  <si>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</si>
  <si>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</si>
  <si>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</si>
  <si>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</si>
  <si>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</si>
  <si>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</si>
  <si>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</si>
  <si>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</si>
  <si>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</si>
  <si>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</si>
  <si>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</si>
  <si>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</si>
  <si>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</si>
  <si>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</si>
  <si>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</si>
  <si>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</si>
  <si>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</si>
  <si>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</si>
  <si>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</si>
  <si>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</si>
  <si>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</si>
  <si>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</si>
  <si>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</si>
  <si>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</si>
  <si>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</si>
  <si>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</si>
  <si>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</si>
  <si>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</si>
  <si>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</si>
  <si>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</si>
  <si>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</si>
  <si>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</si>
  <si>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</si>
  <si>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</si>
  <si>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</si>
  <si>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</si>
  <si>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</si>
  <si>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</si>
  <si>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</si>
  <si>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</si>
  <si>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</si>
  <si>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</si>
  <si>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</si>
  <si>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</si>
  <si>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</si>
  <si>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</si>
  <si>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</si>
  <si>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</si>
  <si>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</si>
  <si>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</si>
  <si>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</si>
  <si>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</si>
  <si>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</si>
  <si>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</si>
  <si>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</si>
  <si>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</si>
  <si>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</si>
  <si>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</si>
  <si>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</si>
  <si>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</si>
  <si>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</si>
  <si>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</si>
  <si>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</si>
  <si>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</si>
  <si>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</si>
  <si>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</si>
  <si>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</si>
  <si>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</si>
  <si>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</si>
  <si>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</si>
  <si>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</si>
  <si>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</si>
  <si>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</si>
  <si>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</si>
  <si>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</si>
  <si>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</si>
  <si>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</si>
  <si>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</si>
  <si>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</si>
  <si>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</si>
  <si>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</si>
  <si>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</si>
  <si>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</si>
  <si>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</si>
  <si>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</si>
  <si>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</si>
  <si>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</si>
  <si>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</si>
  <si>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</si>
  <si>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</si>
  <si>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</si>
  <si>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</si>
  <si>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</si>
  <si>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</si>
  <si>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</si>
  <si>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</si>
  <si>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</si>
  <si>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</si>
  <si>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</si>
  <si>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</si>
  <si>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</si>
  <si>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</si>
  <si>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</si>
  <si>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</si>
  <si>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</si>
  <si>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</si>
  <si>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</si>
  <si>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</si>
  <si>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</si>
  <si>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</si>
  <si>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</si>
  <si>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</si>
  <si>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</si>
  <si>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</si>
  <si>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</si>
  <si>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</si>
  <si>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</si>
  <si>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</si>
  <si>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</si>
  <si>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</si>
  <si>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</si>
  <si>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</si>
  <si>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</si>
  <si>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</si>
  <si>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</si>
  <si>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</si>
  <si>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</si>
  <si>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</si>
  <si>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</si>
  <si>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</si>
  <si>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</si>
  <si>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</si>
  <si>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</si>
  <si>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</si>
  <si>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</si>
  <si>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</si>
  <si>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</si>
  <si>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</si>
  <si>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</si>
  <si>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</si>
  <si>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</si>
  <si>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</si>
  <si>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</si>
  <si>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</si>
  <si>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</si>
  <si>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</si>
  <si>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</si>
  <si>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</si>
  <si>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</si>
  <si>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</si>
  <si>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</si>
  <si>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</si>
  <si>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</si>
  <si>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</si>
  <si>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</si>
  <si>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</si>
  <si>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</si>
  <si>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</si>
  <si>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</si>
  <si>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</si>
  <si>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</si>
  <si>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</si>
  <si>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</si>
  <si>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</si>
  <si>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</si>
  <si>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</si>
  <si>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</si>
  <si>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</si>
  <si>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</si>
  <si>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</si>
  <si>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</si>
  <si>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</si>
  <si>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</si>
  <si>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</si>
  <si>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</si>
  <si>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</si>
  <si>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</si>
  <si>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</si>
  <si>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</si>
  <si>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</si>
  <si>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</si>
  <si>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</si>
  <si>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</si>
  <si>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</si>
  <si>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</si>
  <si>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</si>
  <si>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</si>
  <si>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</si>
  <si>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</si>
  <si>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</si>
  <si>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</si>
  <si>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</si>
  <si>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</si>
  <si>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</si>
  <si>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</si>
  <si>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</si>
  <si>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</si>
  <si>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</si>
  <si>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</si>
  <si>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</si>
  <si>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</si>
  <si>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</si>
  <si>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</si>
  <si>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</si>
  <si>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</si>
  <si>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</si>
  <si>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</si>
  <si>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</si>
  <si>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</si>
  <si>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</si>
  <si>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</si>
  <si>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</si>
  <si>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</si>
  <si>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</si>
  <si>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</si>
  <si>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</si>
  <si>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</si>
  <si>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</si>
  <si>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</si>
  <si>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</si>
  <si>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</si>
  <si>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</si>
  <si>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</si>
  <si>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</si>
  <si>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</si>
  <si>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</si>
  <si>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</si>
  <si>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</si>
  <si>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</si>
  <si>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</si>
  <si>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</si>
  <si>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</si>
  <si>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</si>
  <si>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</si>
  <si>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</si>
  <si>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</si>
  <si>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</si>
  <si>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</si>
  <si>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</si>
  <si>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</si>
  <si>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</si>
  <si>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</si>
  <si>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</si>
  <si>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</si>
  <si>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</si>
  <si>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</si>
  <si>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</si>
  <si>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</si>
  <si>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</si>
  <si>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</si>
  <si>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</si>
  <si>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</si>
  <si>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</si>
  <si>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</si>
  <si>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</si>
  <si>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</si>
  <si>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</si>
  <si>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</si>
  <si>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</si>
  <si>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</si>
  <si>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</si>
  <si>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</si>
  <si>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</si>
  <si>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</si>
  <si>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</si>
  <si>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</si>
  <si>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</si>
  <si>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</si>
  <si>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</si>
  <si>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</si>
  <si>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</si>
  <si>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</si>
  <si>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</si>
  <si>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</si>
  <si>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</si>
  <si>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</si>
  <si>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</si>
  <si>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</si>
  <si>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</si>
  <si>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</si>
  <si>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</si>
  <si>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</si>
  <si>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</si>
  <si>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</si>
  <si>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</si>
  <si>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</si>
  <si>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</si>
  <si>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</si>
  <si>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</si>
  <si>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</si>
  <si>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</si>
  <si>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</si>
  <si>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</si>
  <si>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</si>
  <si>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</si>
  <si>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</si>
  <si>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</si>
  <si>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</si>
  <si>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</si>
  <si>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</si>
  <si>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</si>
  <si>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</si>
  <si>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</si>
  <si>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</si>
  <si>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</si>
  <si>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</si>
  <si>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</si>
  <si>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</si>
  <si>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</si>
  <si>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</si>
  <si>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</si>
  <si>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</si>
  <si>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</si>
  <si>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</si>
  <si>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</si>
  <si>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</si>
  <si>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</si>
  <si>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</si>
  <si>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</si>
  <si>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</si>
  <si>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</si>
  <si>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</si>
  <si>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</si>
  <si>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</si>
  <si>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</si>
  <si>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</si>
  <si>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</si>
  <si>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</si>
  <si>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</si>
  <si>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</si>
  <si>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</si>
  <si>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</si>
  <si>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</si>
  <si>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</si>
  <si>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</si>
  <si>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</si>
  <si>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</si>
  <si>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</si>
  <si>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</si>
  <si>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</si>
  <si>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</si>
  <si>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</si>
  <si>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</si>
  <si>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</si>
  <si>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</si>
  <si>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</si>
  <si>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</si>
  <si>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</si>
  <si>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</si>
  <si>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</si>
  <si>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</si>
  <si>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</si>
  <si>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</si>
  <si>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</si>
  <si>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</si>
  <si>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</si>
  <si>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</si>
  <si>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</si>
  <si>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</si>
  <si>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</si>
  <si>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</si>
  <si>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</si>
  <si>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</si>
  <si>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</si>
  <si>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</si>
  <si>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</si>
  <si>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</si>
  <si>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</si>
  <si>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</si>
  <si>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</si>
  <si>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</si>
  <si>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</si>
  <si>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</si>
  <si>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</si>
  <si>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</si>
  <si>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</si>
  <si>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</si>
  <si>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</si>
  <si>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</si>
  <si>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</si>
  <si>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</si>
  <si>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</si>
  <si>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</si>
  <si>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</si>
  <si>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</si>
  <si>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</si>
  <si>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</si>
  <si>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</si>
  <si>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</si>
  <si>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</si>
  <si>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</si>
  <si>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</si>
  <si>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</si>
  <si>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</si>
  <si>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</si>
  <si>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</si>
  <si>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</si>
  <si>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</si>
  <si>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</si>
  <si>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</si>
  <si>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</si>
  <si>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</si>
  <si>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</si>
  <si>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</si>
  <si>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</si>
  <si>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</si>
  <si>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</si>
  <si>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</si>
  <si>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</si>
  <si>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</si>
  <si>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</si>
  <si>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</si>
  <si>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</si>
  <si>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</si>
  <si>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</si>
  <si>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</si>
  <si>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</si>
  <si>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</si>
  <si>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</si>
  <si>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</si>
  <si>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</si>
  <si>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</si>
  <si>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</si>
  <si>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</si>
  <si>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</si>
  <si>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</si>
  <si>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</si>
  <si>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</si>
  <si>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</si>
  <si>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</si>
  <si>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</si>
  <si>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</si>
  <si>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</si>
  <si>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</si>
  <si>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</si>
  <si>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</si>
  <si>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</si>
  <si>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</si>
  <si>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</si>
  <si>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</si>
  <si>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</si>
  <si>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</si>
  <si>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</si>
  <si>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</si>
  <si>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</si>
  <si>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</si>
  <si>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</si>
  <si>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</si>
  <si>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</si>
  <si>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</si>
  <si>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</si>
  <si>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</si>
  <si>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</si>
  <si>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</si>
  <si>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</si>
  <si>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</si>
  <si>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</si>
  <si>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</si>
  <si>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</si>
  <si>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</si>
  <si>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</si>
  <si>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</si>
  <si>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</si>
  <si>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</si>
  <si>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</si>
  <si>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</si>
  <si>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</si>
  <si>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</si>
  <si>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</si>
  <si>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</si>
  <si>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</si>
  <si>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</si>
  <si>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</si>
  <si>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</si>
  <si>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</si>
  <si>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</si>
  <si>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</si>
  <si>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</si>
  <si>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</si>
  <si>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</si>
  <si>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</si>
  <si>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</si>
  <si>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</si>
  <si>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</si>
  <si>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</si>
  <si>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</si>
  <si>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</si>
  <si>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</si>
  <si>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</si>
  <si>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</si>
  <si>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</si>
  <si>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</si>
  <si>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</si>
  <si>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</si>
  <si>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</si>
  <si>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</si>
  <si>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</si>
  <si>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</si>
  <si>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</si>
  <si>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</si>
  <si>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</si>
  <si>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</si>
  <si>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</si>
  <si>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</si>
  <si>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</si>
  <si>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</si>
  <si>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</si>
  <si>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</si>
  <si>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</si>
  <si>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</si>
  <si>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</si>
  <si>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</si>
  <si>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</si>
  <si>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</si>
  <si>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</si>
  <si>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</si>
  <si>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</si>
  <si>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</si>
  <si>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</si>
  <si>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</si>
  <si>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</si>
  <si>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</si>
  <si>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</si>
  <si>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</si>
  <si>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</si>
  <si>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</si>
  <si>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</si>
  <si>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</si>
  <si>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</si>
  <si>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</si>
  <si>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</si>
  <si>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</si>
  <si>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</si>
  <si>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</si>
  <si>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</si>
  <si>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</si>
  <si>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</si>
  <si>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</si>
  <si>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</si>
  <si>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</si>
  <si>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</si>
  <si>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</si>
  <si>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</si>
  <si>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</si>
  <si>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</si>
  <si>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</si>
  <si>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</si>
  <si>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</si>
  <si>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</si>
  <si>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</si>
  <si>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</si>
  <si>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</si>
  <si>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</si>
  <si>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</si>
  <si>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</si>
  <si>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</si>
  <si>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</si>
  <si>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</si>
  <si>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</si>
  <si>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</si>
  <si>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</si>
  <si>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</si>
  <si>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</si>
  <si>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</si>
  <si>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</si>
  <si>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</si>
  <si>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</si>
  <si>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</si>
  <si>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</si>
  <si>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</si>
  <si>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</si>
  <si>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</si>
  <si>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</si>
  <si>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</si>
  <si>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</si>
  <si>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</si>
  <si>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</si>
  <si>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</si>
  <si>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</si>
  <si>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</si>
  <si>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</si>
  <si>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</si>
  <si>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</si>
  <si>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</si>
  <si>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</si>
  <si>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</si>
  <si>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</si>
  <si>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</si>
  <si>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</si>
  <si>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</si>
  <si>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</si>
  <si>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</si>
  <si>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</si>
  <si>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</si>
  <si>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</si>
  <si>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</si>
  <si>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</si>
  <si>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</si>
  <si>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</si>
  <si>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</si>
  <si>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</si>
  <si>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</si>
  <si>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</si>
  <si>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</si>
  <si>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</si>
  <si>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</si>
  <si>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</si>
  <si>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</si>
  <si>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</si>
  <si>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</si>
  <si>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</si>
  <si>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</si>
  <si>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</si>
  <si>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</si>
  <si>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</si>
  <si>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</si>
  <si>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</si>
  <si>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</si>
  <si>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</si>
  <si>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</si>
  <si>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</si>
  <si>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</si>
  <si>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</si>
  <si>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</si>
  <si>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</si>
  <si>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</si>
  <si>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</si>
  <si>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</si>
  <si>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</si>
  <si>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</si>
  <si>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</si>
  <si>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</si>
  <si>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</si>
  <si>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</si>
  <si>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</si>
  <si>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</si>
  <si>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</si>
  <si>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</si>
  <si>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</si>
  <si>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</si>
  <si>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</si>
  <si>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</si>
  <si>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</si>
  <si>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</si>
  <si>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</si>
  <si>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</si>
  <si>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</si>
  <si>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</si>
  <si>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</si>
  <si>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</si>
  <si>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</si>
  <si>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</si>
  <si>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</si>
  <si>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</si>
  <si>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</si>
  <si>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</si>
  <si>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</si>
  <si>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</si>
  <si>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</si>
  <si>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</si>
  <si>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</si>
  <si>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</si>
  <si>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</si>
  <si>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</si>
  <si>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</si>
  <si>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</si>
  <si>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</si>
  <si>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</si>
  <si>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</si>
  <si>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</si>
  <si>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</si>
  <si>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</si>
  <si>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</si>
  <si>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</si>
  <si>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</si>
  <si>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</si>
  <si>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</si>
  <si>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</si>
  <si>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</si>
  <si>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</si>
  <si>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</si>
  <si>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</si>
  <si>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</si>
  <si>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</si>
  <si>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</si>
  <si>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</si>
  <si>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</si>
  <si>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</si>
  <si>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</si>
  <si>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</si>
  <si>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</si>
  <si>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</si>
  <si>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</si>
  <si>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</si>
  <si>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</si>
  <si>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</si>
  <si>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</si>
  <si>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</si>
  <si>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</si>
  <si>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</si>
  <si>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</si>
  <si>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</si>
  <si>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</si>
  <si>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</si>
  <si>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</si>
  <si>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</si>
  <si>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</si>
  <si>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</si>
  <si>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</si>
  <si>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</si>
  <si>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</si>
  <si>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</si>
  <si>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</si>
  <si>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</si>
  <si>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</si>
  <si>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</si>
  <si>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</si>
  <si>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</si>
  <si>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</si>
  <si>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</si>
  <si>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</si>
  <si>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</si>
  <si>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</si>
  <si>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</si>
  <si>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</si>
  <si>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</si>
  <si>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</si>
  <si>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</si>
  <si>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</si>
  <si>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</si>
  <si>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</si>
  <si>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</si>
  <si>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</si>
  <si>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</si>
  <si>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</si>
  <si>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</si>
  <si>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</si>
  <si>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</si>
  <si>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</si>
  <si>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</si>
  <si>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</si>
  <si>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</si>
  <si>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</si>
  <si>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</si>
  <si>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</si>
  <si>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</si>
  <si>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</si>
  <si>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</si>
  <si>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</si>
  <si>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</si>
  <si>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</si>
  <si>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</si>
  <si>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</si>
  <si>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</si>
  <si>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</si>
  <si>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</si>
  <si>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</si>
  <si>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</si>
  <si>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</si>
  <si>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</si>
  <si>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</si>
  <si>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</si>
  <si>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</si>
  <si>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</si>
  <si>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</si>
  <si>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</si>
  <si>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</si>
  <si>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</si>
  <si>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</si>
  <si>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</si>
  <si>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</si>
  <si>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</si>
  <si>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</si>
  <si>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</si>
  <si>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</si>
  <si>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</si>
  <si>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</si>
  <si>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</si>
  <si>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</si>
  <si>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</si>
  <si>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</si>
  <si>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</si>
  <si>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</si>
  <si>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</si>
  <si>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</si>
  <si>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</si>
  <si>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</si>
  <si>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</si>
  <si>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</si>
  <si>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</si>
  <si>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</si>
  <si>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</si>
  <si>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</si>
  <si>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</si>
  <si>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</si>
  <si>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</si>
  <si>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</si>
  <si>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</si>
  <si>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</si>
  <si>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</si>
  <si>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</si>
  <si>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</si>
  <si>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</si>
  <si>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</si>
  <si>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</si>
  <si>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</si>
  <si>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</si>
  <si>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</si>
  <si>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</si>
  <si>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</si>
  <si>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</si>
  <si>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</si>
  <si>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</si>
  <si>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</si>
  <si>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</si>
  <si>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</si>
  <si>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</si>
  <si>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</si>
  <si>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</si>
  <si>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</si>
  <si>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</si>
  <si>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</si>
  <si>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</si>
  <si>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</si>
  <si>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</si>
  <si>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</si>
  <si>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</si>
  <si>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</si>
  <si>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</si>
  <si>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</si>
  <si>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</si>
  <si>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</si>
  <si>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</si>
  <si>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</si>
  <si>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</si>
  <si>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</si>
  <si>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</si>
  <si>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</si>
  <si>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</si>
  <si>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</si>
  <si>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</si>
  <si>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</si>
  <si>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</si>
  <si>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</si>
  <si>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</si>
  <si>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</si>
  <si>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</si>
  <si>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</si>
  <si>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</si>
  <si>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</si>
  <si>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</si>
  <si>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</si>
  <si>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</si>
  <si>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</si>
  <si>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</si>
  <si>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</si>
  <si>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</si>
  <si>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</si>
  <si>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</si>
  <si>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</si>
  <si>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</si>
  <si>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</si>
  <si>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</si>
  <si>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</si>
  <si>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</si>
  <si>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</si>
  <si>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</si>
  <si>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</si>
  <si>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</si>
  <si>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</si>
  <si>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</si>
  <si>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</si>
  <si>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</si>
  <si>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</si>
  <si>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</si>
  <si>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</si>
  <si>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</si>
  <si>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</si>
  <si>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</si>
  <si>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</si>
  <si>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</si>
  <si>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</si>
  <si>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</si>
  <si>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</si>
  <si>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</si>
  <si>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</si>
  <si>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</si>
  <si>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</si>
  <si>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</si>
  <si>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</si>
  <si>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</si>
  <si>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</si>
  <si>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</si>
  <si>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</si>
  <si>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</si>
  <si>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</si>
  <si>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</si>
  <si>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</si>
  <si>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</si>
  <si>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</si>
  <si>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</si>
  <si>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</si>
  <si>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</si>
  <si>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</si>
  <si>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</si>
  <si>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</si>
  <si>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</si>
  <si>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</si>
  <si>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</si>
  <si>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</si>
  <si>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</si>
  <si>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</si>
  <si>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</si>
  <si>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</si>
  <si>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</si>
  <si>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</si>
  <si>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</si>
  <si>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</si>
  <si>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</si>
  <si>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</si>
  <si>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</si>
  <si>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</si>
  <si>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</si>
  <si>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</si>
  <si>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</si>
  <si>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</si>
  <si>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</si>
  <si>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</si>
  <si>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</si>
  <si>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</si>
  <si>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</si>
  <si>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</si>
  <si>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</si>
  <si>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</si>
  <si>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</si>
  <si>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</si>
  <si>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</si>
  <si>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</si>
  <si>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</si>
  <si>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</si>
  <si>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</si>
  <si>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</si>
  <si>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</si>
  <si>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</si>
  <si>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</si>
  <si>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</si>
  <si>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</si>
  <si>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</si>
  <si>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</si>
  <si>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</si>
  <si>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</si>
  <si>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</si>
  <si>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</si>
  <si>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</si>
  <si>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</si>
  <si>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</si>
  <si>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</si>
  <si>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</si>
  <si>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</si>
  <si>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</si>
  <si>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</si>
  <si>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</si>
  <si>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</si>
  <si>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</si>
  <si>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</si>
  <si>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</si>
  <si>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</si>
  <si>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</si>
  <si>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</si>
  <si>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</si>
  <si>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</si>
  <si>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</si>
  <si>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</si>
  <si>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</si>
  <si>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</si>
  <si>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</si>
  <si>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</si>
  <si>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</si>
  <si>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</si>
  <si>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</si>
  <si>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</si>
  <si>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</si>
  <si>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</si>
  <si>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</si>
  <si>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</si>
  <si>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</si>
  <si>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</si>
  <si>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</si>
  <si>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</si>
  <si>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</si>
  <si>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</si>
  <si>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</si>
  <si>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</si>
  <si>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</si>
  <si>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</si>
  <si>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</si>
  <si>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</si>
  <si>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</si>
  <si>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</si>
  <si>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</si>
  <si>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</si>
  <si>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</si>
  <si>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</si>
  <si>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</si>
  <si>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</si>
  <si>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</si>
  <si>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</si>
  <si>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</si>
  <si>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</si>
  <si>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</si>
  <si>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</si>
  <si>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</si>
  <si>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</si>
  <si>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</si>
  <si>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</si>
  <si>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</si>
  <si>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</si>
  <si>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</si>
  <si>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</si>
  <si>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</si>
  <si>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</si>
  <si>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</si>
  <si>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</si>
  <si>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</si>
  <si>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</si>
  <si>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</si>
  <si>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</si>
  <si>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</si>
  <si>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</si>
  <si>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</si>
  <si>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</si>
  <si>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</si>
  <si>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</si>
  <si>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</si>
  <si>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</si>
  <si>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</si>
  <si>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</si>
  <si>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</si>
  <si>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</si>
  <si>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</si>
  <si>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</si>
  <si>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</si>
  <si>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</si>
  <si>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</si>
  <si>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</si>
  <si>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</si>
  <si>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</si>
  <si>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</si>
  <si>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</si>
  <si>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</si>
  <si>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</si>
  <si>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</si>
  <si>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</si>
  <si>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</si>
  <si>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</si>
  <si>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</si>
  <si>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</si>
  <si>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</si>
  <si>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</si>
  <si>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</si>
  <si>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</si>
  <si>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</si>
  <si>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</si>
  <si>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</si>
  <si>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</si>
  <si>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</si>
  <si>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</si>
  <si>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</si>
  <si>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</si>
  <si>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</si>
  <si>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</si>
  <si>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</si>
  <si>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</si>
  <si>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</si>
  <si>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</si>
  <si>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</si>
  <si>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</si>
  <si>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</si>
  <si>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</si>
  <si>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</si>
  <si>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</si>
  <si>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</si>
  <si>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</si>
  <si>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</si>
  <si>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</si>
  <si>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</si>
  <si>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</si>
  <si>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</si>
  <si>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</si>
  <si>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</si>
  <si>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</si>
  <si>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</si>
  <si>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</si>
  <si>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</si>
  <si>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</si>
  <si>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</si>
  <si>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</si>
  <si>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</si>
  <si>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</si>
  <si>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</si>
  <si>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</si>
  <si>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</si>
  <si>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</si>
  <si>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</si>
  <si>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</si>
  <si>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</si>
  <si>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</si>
  <si>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</si>
  <si>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</si>
  <si>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</si>
  <si>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</si>
  <si>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</si>
  <si>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</si>
  <si>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</si>
  <si>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</si>
  <si>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</si>
  <si>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</si>
  <si>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</si>
  <si>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</si>
  <si>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</si>
  <si>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</si>
  <si>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</si>
  <si>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</si>
  <si>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</si>
  <si>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</si>
  <si>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</si>
  <si>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</si>
  <si>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</si>
  <si>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</si>
  <si>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</si>
  <si>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</si>
  <si>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</si>
  <si>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</si>
  <si>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</si>
  <si>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</si>
  <si>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</si>
  <si>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</si>
  <si>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</si>
  <si>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</si>
  <si>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</si>
  <si>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</si>
  <si>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</si>
  <si>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</si>
  <si>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</si>
  <si>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</si>
  <si>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</si>
  <si>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</si>
  <si>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</si>
  <si>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</si>
  <si>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</si>
  <si>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</si>
  <si>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</si>
  <si>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</si>
  <si>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</si>
  <si>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</si>
  <si>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</si>
  <si>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</si>
  <si>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</si>
  <si>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</si>
  <si>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</si>
  <si>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</si>
  <si>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</si>
  <si>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</si>
  <si>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</si>
  <si>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</si>
  <si>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</si>
  <si>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</si>
  <si>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</si>
  <si>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</si>
  <si>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</si>
  <si>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</si>
  <si>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</si>
  <si>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</si>
  <si>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</si>
  <si>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</si>
  <si>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</si>
  <si>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</si>
  <si>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</si>
  <si>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</si>
  <si>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</si>
  <si>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</si>
  <si>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</si>
  <si>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</si>
  <si>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</si>
  <si>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</si>
  <si>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</si>
  <si>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</si>
  <si>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</si>
  <si>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</si>
  <si>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</si>
  <si>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</si>
  <si>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</si>
  <si>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</si>
  <si>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</si>
  <si>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</si>
  <si>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</si>
  <si>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</si>
  <si>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</si>
  <si>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</si>
  <si>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</si>
  <si>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</si>
  <si>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</si>
  <si>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</si>
  <si>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</si>
  <si>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</si>
  <si>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</si>
  <si>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</si>
  <si>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</si>
  <si>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</si>
  <si>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</si>
  <si>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</si>
  <si>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</si>
  <si>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</si>
  <si>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</si>
  <si>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</si>
  <si>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</si>
  <si>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</si>
  <si>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</si>
  <si>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</si>
  <si>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</si>
  <si>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</si>
  <si>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</si>
  <si>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</si>
  <si>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</si>
  <si>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</si>
  <si>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</si>
  <si>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</si>
  <si>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</si>
  <si>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</si>
  <si>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</si>
  <si>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</si>
  <si>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</si>
  <si>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</si>
  <si>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</si>
  <si>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</si>
  <si>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</si>
  <si>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</si>
  <si>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</si>
  <si>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</si>
  <si>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</si>
  <si>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</si>
  <si>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</si>
  <si>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</si>
  <si>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</si>
  <si>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</si>
  <si>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</si>
  <si>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</si>
  <si>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</si>
  <si>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</si>
  <si>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</si>
  <si>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</si>
  <si>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</si>
  <si>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</si>
  <si>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</si>
  <si>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</si>
  <si>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</si>
  <si>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</si>
  <si>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</si>
  <si>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</si>
  <si>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</si>
  <si>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</si>
  <si>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</si>
  <si>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</si>
  <si>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</si>
  <si>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</si>
  <si>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</si>
  <si>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</si>
  <si>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</si>
  <si>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</si>
  <si>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</si>
  <si>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</si>
  <si>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</si>
  <si>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</si>
  <si>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</si>
  <si>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</si>
  <si>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</si>
  <si>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</si>
  <si>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</si>
  <si>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</si>
  <si>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</si>
  <si>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</si>
  <si>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</si>
  <si>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</si>
  <si>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</si>
  <si>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</si>
  <si>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</si>
  <si>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</si>
  <si>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</si>
  <si>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</si>
  <si>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</si>
  <si>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</si>
  <si>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</si>
  <si>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</si>
  <si>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</si>
  <si>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</si>
  <si>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</si>
  <si>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</si>
  <si>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</si>
  <si>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</si>
  <si>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</si>
  <si>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</si>
  <si>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</si>
  <si>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</si>
  <si>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</si>
  <si>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</si>
  <si>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</si>
  <si>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</si>
  <si>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</si>
  <si>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</si>
  <si>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</si>
  <si>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</si>
  <si>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</si>
  <si>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</si>
  <si>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</si>
  <si>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</si>
  <si>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</si>
  <si>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</si>
  <si>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</si>
  <si>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</si>
  <si>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</si>
  <si>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</si>
  <si>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</si>
  <si>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</si>
  <si>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</si>
  <si>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</si>
  <si>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</si>
  <si>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</si>
  <si>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</si>
  <si>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</si>
  <si>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</si>
  <si>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</si>
  <si>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</si>
  <si>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</si>
  <si>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</si>
  <si>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</si>
  <si>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</si>
  <si>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</si>
  <si>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</si>
  <si>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</si>
  <si>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</si>
  <si>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</si>
  <si>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</si>
  <si>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</si>
  <si>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</si>
  <si>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</si>
  <si>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</si>
  <si>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</si>
  <si>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</si>
  <si>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</si>
  <si>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</si>
  <si>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</si>
  <si>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</si>
  <si>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</si>
  <si>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</si>
  <si>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</si>
  <si>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</si>
  <si>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</si>
  <si>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</si>
  <si>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</si>
  <si>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</si>
  <si>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</si>
  <si>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</si>
  <si>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</si>
  <si>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</si>
  <si>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</si>
  <si>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</si>
  <si>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</si>
  <si>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</si>
  <si>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</si>
  <si>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</si>
  <si>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</si>
  <si>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</si>
  <si>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</si>
  <si>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</si>
  <si>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</si>
  <si>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</si>
  <si>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</si>
  <si>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</si>
  <si>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</si>
  <si>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</si>
  <si>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</si>
  <si>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</si>
  <si>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</si>
  <si>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</si>
  <si>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</si>
  <si>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</si>
  <si>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</si>
  <si>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</si>
  <si>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</si>
  <si>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</si>
  <si>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</si>
  <si>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</si>
  <si>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</si>
  <si>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</si>
  <si>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</si>
  <si>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</si>
  <si>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</si>
  <si>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</si>
  <si>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</si>
  <si>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</si>
  <si>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</si>
  <si>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</si>
  <si>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</si>
  <si>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</si>
  <si>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</si>
  <si>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</si>
  <si>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</si>
  <si>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</si>
  <si>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</si>
  <si>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</si>
  <si>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</si>
  <si>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</si>
  <si>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</si>
  <si>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</si>
  <si>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</si>
  <si>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</si>
  <si>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</si>
  <si>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</si>
  <si>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</si>
  <si>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</si>
  <si>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</si>
  <si>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</si>
  <si>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</si>
  <si>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</si>
  <si>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</si>
  <si>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</si>
  <si>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</si>
  <si>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</si>
  <si>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</si>
  <si>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</si>
  <si>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</si>
  <si>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</si>
  <si>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</si>
  <si>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</si>
  <si>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</si>
  <si>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</si>
  <si>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</si>
  <si>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</si>
  <si>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</si>
  <si>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</si>
  <si>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</si>
  <si>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</si>
  <si>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</si>
  <si>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</si>
  <si>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</si>
  <si>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</si>
  <si>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</si>
  <si>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</si>
  <si>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</si>
  <si>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</si>
  <si>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</si>
  <si>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</si>
  <si>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</si>
  <si>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</si>
  <si>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</si>
  <si>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</si>
  <si>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</si>
  <si>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</si>
  <si>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</si>
  <si>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</si>
  <si>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</si>
  <si>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</si>
  <si>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</si>
  <si>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</si>
  <si>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</si>
  <si>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</si>
  <si>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</si>
  <si>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</si>
  <si>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</si>
  <si>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</si>
  <si>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</si>
  <si>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</si>
  <si>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</si>
  <si>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</si>
  <si>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</si>
  <si>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</si>
  <si>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</si>
  <si>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</si>
  <si>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</si>
  <si>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</si>
  <si>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</si>
  <si>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</si>
  <si>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</si>
  <si>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</si>
  <si>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</si>
  <si>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</si>
  <si>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</si>
  <si>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</si>
  <si>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</si>
  <si>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</si>
  <si>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</si>
  <si>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</si>
  <si>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</si>
  <si>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</si>
  <si>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</si>
  <si>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</si>
  <si>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</si>
  <si>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</si>
  <si>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</si>
  <si>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</si>
  <si>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</si>
  <si>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</si>
  <si>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</si>
  <si>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</si>
  <si>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</si>
  <si>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</si>
  <si>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</si>
  <si>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</si>
  <si>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</si>
  <si>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</si>
  <si>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</si>
  <si>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</si>
  <si>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</si>
  <si>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</si>
  <si>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</si>
  <si>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</si>
  <si>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</si>
  <si>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</si>
  <si>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</si>
  <si>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</si>
  <si>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</si>
  <si>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</si>
  <si>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</si>
  <si>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</si>
  <si>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</si>
  <si>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</si>
  <si>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</si>
  <si>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</si>
  <si>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</si>
  <si>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</si>
  <si>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</si>
  <si>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</si>
  <si>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</si>
  <si>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</si>
  <si>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</si>
  <si>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</si>
  <si>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</si>
  <si>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</si>
  <si>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</si>
  <si>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</si>
  <si>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</si>
  <si>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</si>
  <si>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</si>
  <si>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</si>
  <si>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</si>
  <si>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</si>
  <si>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</si>
  <si>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</si>
  <si>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</si>
  <si>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</si>
  <si>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</si>
  <si>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</si>
  <si>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</si>
  <si>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</si>
  <si>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</si>
  <si>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</si>
  <si>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</si>
  <si>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</si>
  <si>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</si>
  <si>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</si>
  <si>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</si>
  <si>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</si>
  <si>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</si>
  <si>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</si>
  <si>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</si>
  <si>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</si>
  <si>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</si>
  <si>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</si>
  <si>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</si>
  <si>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</si>
  <si>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</si>
  <si>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</si>
  <si>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</si>
  <si>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</si>
  <si>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</si>
  <si>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</si>
  <si>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</si>
  <si>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</si>
  <si>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</si>
  <si>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</si>
  <si>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</si>
  <si>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</si>
  <si>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</si>
  <si>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</si>
  <si>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</si>
  <si>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</si>
  <si>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</si>
  <si>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</si>
  <si>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</si>
  <si>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</si>
  <si>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</si>
  <si>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</si>
  <si>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</si>
  <si>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</si>
  <si>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</si>
  <si>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</si>
  <si>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</si>
  <si>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</si>
  <si>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</si>
  <si>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</si>
  <si>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</si>
  <si>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</si>
  <si>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</si>
  <si>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</si>
  <si>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</si>
  <si>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</si>
  <si>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</si>
  <si>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</si>
  <si>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</si>
  <si>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</si>
  <si>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</si>
  <si>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</si>
  <si>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</si>
  <si>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</si>
  <si>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</si>
  <si>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</si>
  <si>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</si>
  <si>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</si>
  <si>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</si>
  <si>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</si>
  <si>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</si>
  <si>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</si>
  <si>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</si>
  <si>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</si>
  <si>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</si>
  <si>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</si>
  <si>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</si>
  <si>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</si>
  <si>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</si>
  <si>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</si>
  <si>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</si>
  <si>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</si>
  <si>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</si>
  <si>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</si>
  <si>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</si>
  <si>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</si>
  <si>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</si>
  <si>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</si>
  <si>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</si>
  <si>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</si>
  <si>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</si>
  <si>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</si>
  <si>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</si>
  <si>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</si>
  <si>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</si>
  <si>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</si>
  <si>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</si>
  <si>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</si>
  <si>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</si>
  <si>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</si>
  <si>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</si>
  <si>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</si>
  <si>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</si>
  <si>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</si>
  <si>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</si>
  <si>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</si>
  <si>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</si>
  <si>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</si>
  <si>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</si>
  <si>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</si>
  <si>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</si>
  <si>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</si>
  <si>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</si>
  <si>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</si>
  <si>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</si>
  <si>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</si>
  <si>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</si>
  <si>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</si>
  <si>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</si>
  <si>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</si>
  <si>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</si>
  <si>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</si>
  <si>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</si>
  <si>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</si>
  <si>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</si>
  <si>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</si>
  <si>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</si>
  <si>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</si>
  <si>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</si>
  <si>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</si>
  <si>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</si>
  <si>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</si>
  <si>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</si>
  <si>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</si>
  <si>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</si>
  <si>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</si>
  <si>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</si>
  <si>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</si>
  <si>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</si>
  <si>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</si>
  <si>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</si>
  <si>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</si>
  <si>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</si>
  <si>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</si>
  <si>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</si>
  <si>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</si>
  <si>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</si>
  <si>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</si>
  <si>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</si>
  <si>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</si>
  <si>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</si>
  <si>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</si>
  <si>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</si>
  <si>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</si>
  <si>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</si>
  <si>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</si>
  <si>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</si>
  <si>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</si>
  <si>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</si>
  <si>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</si>
  <si>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</si>
  <si>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</si>
  <si>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</si>
  <si>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</si>
  <si>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</si>
  <si>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</si>
  <si>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</si>
  <si>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</si>
  <si>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</si>
  <si>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</si>
  <si>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</si>
  <si>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</si>
  <si>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</si>
  <si>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</si>
  <si>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</si>
  <si>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</si>
  <si>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</si>
  <si>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</si>
  <si>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</si>
  <si>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</si>
  <si>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</si>
  <si>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</si>
  <si>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</si>
  <si>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</si>
  <si>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</si>
  <si>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</si>
  <si>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</si>
  <si>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</si>
  <si>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</si>
  <si>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</si>
  <si>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</si>
  <si>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</si>
  <si>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</si>
  <si>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</si>
  <si>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</si>
  <si>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</si>
  <si>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</si>
  <si>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</si>
  <si>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</si>
  <si>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</si>
  <si>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</si>
  <si>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</si>
  <si>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</si>
  <si>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</si>
  <si>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</si>
  <si>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</si>
  <si>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</si>
  <si>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</si>
  <si>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</si>
  <si>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</si>
  <si>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</si>
  <si>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</si>
  <si>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</si>
  <si>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</si>
  <si>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</si>
  <si>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</si>
  <si>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</si>
  <si>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</si>
  <si>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</si>
  <si>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</si>
  <si>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</si>
  <si>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</si>
  <si>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</si>
  <si>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</si>
  <si>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</si>
  <si>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</si>
  <si>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</si>
  <si>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</si>
  <si>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</si>
  <si>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</si>
  <si>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</si>
  <si>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</si>
  <si>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</si>
  <si>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</si>
  <si>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</si>
  <si>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</si>
  <si>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</si>
  <si>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</si>
  <si>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</si>
  <si>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</si>
  <si>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</si>
  <si>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</si>
  <si>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</si>
  <si>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</si>
  <si>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</si>
  <si>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</si>
  <si>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</si>
  <si>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</si>
  <si>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</si>
  <si>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</si>
  <si>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</si>
  <si>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</si>
  <si>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</si>
  <si>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</si>
  <si>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</si>
  <si>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</si>
  <si>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</si>
  <si>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</si>
  <si>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</si>
  <si>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</si>
  <si>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</si>
  <si>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</si>
  <si>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</si>
  <si>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</si>
  <si>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</si>
  <si>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</si>
  <si>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</si>
  <si>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</si>
  <si>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</si>
  <si>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</si>
  <si>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</si>
  <si>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</si>
  <si>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</si>
  <si>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</si>
  <si>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</si>
  <si>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</si>
  <si>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</si>
  <si>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</si>
  <si>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</si>
  <si>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</si>
  <si>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</si>
  <si>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</si>
  <si>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</si>
  <si>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</si>
  <si>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</si>
  <si>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</si>
  <si>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</si>
  <si>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</si>
  <si>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</si>
  <si>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</si>
  <si>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</si>
  <si>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</si>
  <si>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</si>
  <si>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</si>
  <si>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</si>
  <si>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</si>
  <si>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</si>
  <si>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</si>
  <si>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</si>
  <si>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</si>
  <si>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</si>
  <si>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</si>
  <si>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</si>
  <si>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</si>
  <si>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</si>
  <si>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</si>
  <si>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</si>
  <si>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</si>
  <si>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</si>
  <si>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</si>
  <si>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</si>
  <si>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</si>
  <si>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</si>
  <si>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</si>
  <si>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</si>
  <si>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</si>
  <si>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</si>
  <si>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</si>
  <si>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</si>
  <si>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</si>
  <si>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</si>
  <si>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</si>
  <si>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</si>
  <si>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</si>
  <si>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</si>
  <si>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</si>
  <si>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</si>
  <si>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</si>
  <si>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</si>
  <si>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</si>
  <si>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</si>
  <si>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</si>
  <si>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</si>
  <si>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</si>
  <si>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</si>
  <si>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</si>
  <si>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</si>
  <si>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</si>
  <si>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</si>
  <si>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</si>
  <si>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</si>
  <si>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</si>
  <si>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</si>
  <si>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</si>
  <si>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</si>
  <si>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</si>
  <si>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</si>
  <si>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</si>
  <si>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</si>
  <si>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</si>
  <si>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</si>
  <si>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</si>
  <si>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</si>
  <si>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</si>
  <si>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</si>
  <si>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</si>
  <si>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</si>
  <si>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</si>
  <si>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</si>
  <si>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</si>
  <si>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</si>
  <si>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</si>
  <si>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</si>
  <si>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</si>
  <si>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</si>
  <si>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</si>
  <si>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</si>
  <si>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</si>
  <si>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</si>
  <si>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</si>
  <si>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</si>
  <si>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</si>
  <si>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</si>
  <si>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</si>
  <si>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</si>
  <si>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</si>
  <si>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</si>
  <si>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</si>
  <si>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</si>
  <si>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</si>
  <si>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</si>
  <si>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</si>
  <si>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</si>
  <si>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</si>
  <si>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</si>
  <si>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</si>
  <si>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</si>
  <si>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</si>
  <si>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</si>
  <si>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</si>
  <si>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</si>
  <si>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</si>
  <si>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</si>
  <si>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</si>
  <si>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</si>
  <si>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</si>
  <si>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</si>
  <si>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</si>
  <si>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</si>
  <si>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</si>
  <si>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</si>
  <si>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</si>
  <si>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</si>
  <si>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</si>
  <si>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</si>
  <si>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</si>
  <si>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</si>
  <si>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</si>
  <si>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</si>
  <si>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</si>
  <si>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</si>
  <si>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</si>
  <si>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</si>
  <si>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</si>
  <si>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</si>
  <si>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</si>
  <si>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</si>
  <si>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</si>
  <si>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</si>
  <si>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</si>
  <si>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</si>
  <si>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</si>
  <si>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</si>
  <si>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</si>
  <si>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</si>
  <si>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</si>
  <si>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</si>
  <si>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</si>
  <si>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</si>
  <si>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</si>
  <si>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</si>
  <si>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</si>
  <si>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</si>
  <si>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</si>
  <si>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</si>
  <si>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</si>
  <si>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</si>
  <si>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</si>
  <si>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</si>
  <si>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</si>
  <si>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</si>
  <si>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</si>
  <si>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</si>
  <si>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</si>
  <si>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</si>
  <si>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</si>
  <si>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</si>
  <si>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</si>
  <si>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</si>
  <si>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</si>
  <si>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</si>
  <si>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</si>
  <si>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</si>
  <si>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</si>
  <si>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</si>
  <si>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</si>
  <si>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</si>
  <si>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</si>
  <si>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</si>
  <si>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</si>
  <si>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</si>
  <si>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</si>
  <si>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</si>
  <si>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</si>
  <si>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</si>
  <si>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</si>
  <si>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</si>
  <si>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</si>
  <si>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</si>
  <si>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</si>
  <si>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</si>
  <si>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</si>
  <si>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</si>
  <si>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</si>
  <si>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</si>
  <si>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</si>
  <si>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</si>
  <si>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</si>
  <si>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</si>
  <si>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</si>
  <si>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</si>
  <si>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</si>
  <si>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</si>
  <si>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</si>
  <si>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</si>
  <si>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</si>
  <si>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</si>
  <si>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</si>
  <si>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</si>
  <si>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</si>
  <si>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</si>
  <si>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</si>
  <si>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</si>
  <si>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</si>
  <si>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</si>
  <si>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</si>
  <si>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</si>
  <si>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</si>
  <si>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</si>
  <si>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</si>
  <si>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</si>
  <si>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</si>
  <si>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</si>
  <si>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</si>
  <si>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</si>
  <si>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</si>
  <si>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</si>
  <si>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</si>
  <si>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</si>
  <si>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</si>
  <si>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</si>
  <si>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</si>
  <si>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</si>
  <si>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</si>
  <si>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</si>
  <si>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</si>
  <si>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</si>
  <si>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</si>
  <si>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</si>
  <si>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</si>
  <si>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</si>
  <si>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</si>
  <si>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</si>
  <si>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</si>
  <si>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</si>
  <si>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</si>
  <si>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</si>
  <si>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</si>
  <si>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</si>
  <si>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</si>
  <si>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</si>
  <si>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</si>
  <si>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</si>
  <si>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</si>
  <si>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</si>
  <si>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</si>
  <si>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</si>
  <si>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</si>
  <si>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</si>
  <si>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</si>
  <si>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</si>
  <si>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</si>
  <si>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</si>
  <si>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</si>
  <si>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</si>
  <si>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</si>
  <si>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</si>
  <si>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</si>
  <si>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</si>
  <si>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</si>
  <si>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</si>
  <si>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</si>
  <si>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</si>
  <si>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</si>
  <si>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</si>
  <si>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</si>
  <si>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</si>
  <si>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</si>
  <si>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</si>
  <si>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</si>
  <si>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</si>
  <si>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</si>
  <si>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</si>
  <si>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</si>
  <si>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</si>
  <si>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</si>
  <si>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</si>
  <si>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</si>
  <si>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</si>
  <si>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</si>
  <si>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</si>
  <si>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</si>
  <si>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</si>
  <si>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</si>
  <si>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</si>
  <si>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</si>
  <si>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</si>
  <si>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</si>
  <si>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</si>
  <si>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</si>
  <si>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</si>
  <si>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</si>
  <si>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</si>
  <si>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</si>
  <si>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</si>
  <si>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</si>
  <si>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</si>
  <si>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</si>
  <si>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</si>
  <si>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</si>
  <si>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</si>
  <si>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</si>
  <si>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</si>
  <si>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</si>
  <si>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</si>
  <si>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</si>
  <si>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</si>
  <si>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</si>
  <si>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</si>
  <si>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</si>
  <si>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</si>
  <si>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</si>
  <si>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</si>
  <si>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</si>
  <si>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</si>
  <si>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</si>
  <si>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</si>
  <si>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</si>
  <si>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</si>
  <si>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</si>
  <si>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</si>
  <si>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</si>
  <si>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</si>
  <si>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</si>
  <si>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</si>
  <si>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</si>
  <si>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</si>
  <si>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</si>
  <si>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</si>
  <si>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</si>
  <si>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</si>
  <si>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</si>
  <si>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</si>
  <si>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</si>
  <si>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</si>
  <si>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</si>
  <si>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</si>
  <si>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</si>
  <si>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</si>
  <si>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</si>
  <si>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</si>
  <si>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</si>
  <si>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</si>
  <si>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</si>
  <si>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</si>
  <si>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</si>
  <si>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</si>
  <si>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</si>
  <si>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</si>
  <si>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</si>
  <si>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</si>
  <si>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</si>
  <si>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</si>
  <si>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</si>
  <si>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</si>
  <si>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</si>
  <si>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</si>
  <si>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</si>
  <si>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</si>
  <si>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</si>
  <si>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</si>
  <si>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</si>
  <si>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</si>
  <si>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</si>
  <si>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</si>
  <si>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</si>
  <si>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</si>
  <si>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</si>
  <si>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</si>
  <si>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</si>
  <si>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</si>
  <si>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</si>
  <si>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</si>
  <si>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</si>
  <si>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</si>
  <si>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</si>
  <si>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</si>
  <si>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</si>
  <si>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</si>
  <si>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</si>
  <si>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</si>
  <si>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</si>
  <si>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</si>
  <si>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</si>
  <si>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</si>
  <si>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</si>
  <si>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</si>
  <si>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</si>
  <si>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</si>
  <si>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</si>
  <si>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</si>
  <si>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</si>
  <si>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</si>
  <si>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</si>
  <si>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</si>
  <si>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</si>
  <si>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</si>
  <si>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</si>
  <si>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</si>
  <si>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</si>
  <si>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</si>
  <si>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</si>
  <si>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</si>
  <si>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</si>
  <si>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</si>
  <si>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</si>
  <si>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</si>
  <si>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</si>
  <si>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</si>
  <si>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</si>
  <si>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</si>
  <si>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</si>
  <si>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</si>
  <si>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</si>
  <si>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</si>
  <si>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</si>
  <si>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</si>
  <si>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</si>
  <si>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</si>
  <si>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</si>
  <si>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</si>
  <si>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</si>
  <si>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</si>
  <si>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</si>
  <si>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</si>
  <si>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</si>
  <si>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</si>
  <si>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</si>
  <si>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</si>
  <si>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</si>
  <si>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</si>
  <si>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</si>
  <si>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</si>
  <si>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</si>
  <si>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</si>
  <si>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</si>
  <si>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</si>
  <si>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</si>
  <si>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</si>
  <si>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</si>
  <si>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</si>
  <si>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</si>
  <si>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</si>
  <si>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</si>
  <si>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</si>
  <si>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</si>
  <si>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</si>
  <si>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</si>
  <si>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</si>
  <si>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</si>
  <si>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</si>
  <si>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</si>
  <si>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</si>
  <si>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</si>
  <si>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</si>
  <si>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</si>
  <si>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</si>
  <si>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</si>
  <si>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</si>
  <si>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</si>
  <si>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</si>
  <si>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</si>
  <si>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</si>
  <si>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</si>
  <si>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</si>
  <si>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</si>
  <si>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</si>
  <si>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</si>
  <si>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</si>
  <si>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</si>
  <si>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</si>
  <si>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</si>
  <si>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</si>
  <si>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</si>
  <si>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</si>
  <si>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</si>
  <si>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</si>
  <si>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</si>
  <si>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</si>
  <si>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</si>
  <si>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</si>
  <si>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</si>
  <si>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</si>
  <si>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</si>
  <si>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</si>
  <si>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</si>
  <si>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</si>
  <si>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</si>
  <si>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</si>
  <si>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</si>
  <si>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</si>
  <si>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</si>
  <si>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</si>
  <si>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</si>
  <si>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</si>
  <si>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</si>
  <si>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</si>
  <si>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</si>
  <si>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</si>
  <si>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</si>
  <si>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</si>
  <si>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</si>
  <si>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</si>
  <si>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</si>
  <si>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</si>
  <si>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</si>
  <si>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</si>
  <si>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</si>
  <si>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</si>
  <si>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</si>
  <si>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</si>
  <si>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</si>
  <si>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</si>
  <si>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</si>
  <si>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</si>
  <si>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</si>
  <si>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</si>
  <si>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</si>
  <si>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</si>
  <si>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</si>
  <si>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</si>
  <si>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</si>
  <si>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</si>
  <si>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</si>
  <si>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</si>
  <si>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</si>
  <si>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</si>
  <si>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</si>
  <si>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</si>
  <si>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</si>
  <si>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</si>
  <si>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</si>
  <si>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</si>
  <si>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</si>
  <si>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</si>
  <si>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</si>
  <si>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</si>
  <si>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</si>
  <si>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</si>
  <si>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</si>
  <si>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</si>
  <si>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</si>
  <si>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</si>
  <si>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</si>
  <si>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</si>
  <si>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</si>
  <si>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</si>
  <si>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</si>
  <si>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</si>
  <si>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</si>
  <si>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</si>
  <si>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</si>
  <si>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</si>
  <si>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</si>
  <si>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</si>
  <si>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</si>
  <si>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</si>
  <si>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</si>
  <si>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</si>
  <si>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</si>
  <si>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</si>
  <si>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</si>
  <si>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</si>
  <si>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</si>
  <si>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</si>
  <si>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</si>
  <si>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</si>
  <si>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</si>
  <si>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</si>
  <si>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</si>
  <si>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</si>
  <si>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</si>
  <si>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</si>
  <si>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</si>
  <si>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</si>
  <si>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</si>
  <si>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</si>
  <si>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</si>
  <si>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</si>
  <si>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</si>
  <si>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</si>
  <si>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</si>
  <si>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</si>
  <si>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</si>
  <si>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</si>
  <si>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</si>
  <si>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</si>
  <si>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</si>
  <si>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</si>
  <si>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</si>
  <si>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</si>
  <si>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</si>
  <si>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</si>
  <si>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</si>
  <si>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</si>
  <si>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</si>
  <si>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</si>
  <si>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</si>
  <si>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</si>
  <si>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</si>
  <si>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</si>
  <si>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</si>
  <si>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</si>
  <si>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</si>
  <si>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</si>
  <si>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</si>
  <si>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</si>
  <si>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</si>
  <si>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</si>
  <si>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</si>
  <si>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</si>
  <si>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</si>
  <si>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</si>
  <si>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</si>
  <si>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</si>
  <si>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</si>
  <si>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</si>
  <si>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</si>
  <si>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</si>
  <si>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</si>
  <si>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</si>
  <si>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</si>
  <si>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</si>
  <si>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</si>
  <si>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</si>
  <si>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</si>
  <si>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</si>
  <si>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</si>
  <si>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</si>
  <si>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</si>
  <si>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</si>
  <si>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</si>
  <si>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</si>
  <si>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</si>
  <si>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</si>
  <si>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</si>
  <si>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</si>
  <si>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</si>
  <si>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</si>
  <si>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</si>
  <si>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</si>
  <si>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</si>
  <si>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</si>
  <si>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</si>
  <si>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</si>
  <si>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</si>
  <si>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</si>
  <si>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</si>
  <si>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</si>
  <si>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</si>
  <si>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</si>
  <si>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</si>
  <si>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</si>
  <si>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</si>
  <si>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</si>
  <si>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</si>
  <si>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</si>
  <si>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</si>
  <si>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</si>
  <si>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</si>
  <si>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</si>
  <si>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</si>
  <si>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</si>
  <si>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</si>
  <si>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</si>
  <si>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</si>
  <si>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</si>
  <si>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</si>
  <si>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</si>
  <si>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</si>
  <si>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</si>
  <si>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</si>
  <si>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</si>
  <si>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</si>
  <si>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</si>
  <si>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</si>
  <si>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</si>
  <si>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</si>
  <si>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</si>
  <si>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</si>
  <si>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</si>
  <si>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</si>
  <si>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</si>
  <si>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</si>
  <si>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</si>
  <si>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</si>
  <si>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</si>
  <si>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</si>
  <si>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</si>
  <si>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</si>
  <si>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</si>
  <si>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</si>
  <si>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</si>
  <si>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</si>
  <si>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</si>
  <si>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</si>
  <si>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</si>
  <si>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</si>
  <si>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</si>
  <si>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</si>
  <si>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</si>
  <si>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</si>
  <si>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</si>
  <si>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</si>
  <si>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</si>
  <si>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</si>
  <si>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</si>
  <si>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</si>
  <si>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</si>
  <si>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</si>
  <si>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</si>
  <si>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</si>
  <si>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</si>
  <si>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</si>
  <si>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</si>
  <si>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</si>
  <si>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</si>
  <si>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</si>
  <si>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</si>
  <si>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</si>
  <si>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</si>
  <si>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</si>
  <si>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</si>
  <si>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</si>
  <si>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</si>
  <si>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</si>
  <si>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</si>
  <si>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</si>
  <si>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</si>
  <si>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</si>
  <si>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</si>
  <si>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</si>
  <si>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</si>
  <si>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</si>
  <si>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</si>
  <si>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</si>
  <si>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</si>
  <si>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</si>
  <si>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</si>
  <si>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</si>
  <si>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</si>
  <si>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</si>
  <si>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</si>
  <si>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</si>
  <si>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</si>
  <si>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</si>
  <si>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</si>
  <si>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</si>
  <si>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</si>
  <si>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</si>
  <si>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</si>
  <si>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</si>
  <si>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</si>
  <si>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</si>
  <si>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</si>
  <si>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</si>
  <si>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</si>
  <si>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</si>
  <si>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</si>
  <si>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</si>
  <si>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</si>
  <si>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</si>
  <si>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</si>
  <si>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</si>
  <si>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</si>
  <si>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</si>
  <si>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</si>
  <si>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</si>
  <si>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</si>
  <si>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</si>
  <si>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</si>
  <si>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</si>
  <si>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</si>
  <si>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</si>
  <si>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</si>
  <si>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</si>
  <si>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</si>
  <si>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</si>
  <si>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</si>
  <si>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</si>
  <si>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</si>
  <si>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</si>
  <si>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</si>
  <si>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</si>
  <si>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</si>
  <si>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</si>
  <si>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</si>
  <si>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</si>
  <si>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</si>
  <si>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</si>
  <si>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</si>
  <si>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</si>
  <si>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</si>
  <si>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</si>
  <si>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</si>
  <si>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</si>
  <si>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</si>
  <si>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</si>
  <si>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</si>
  <si>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</si>
  <si>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</si>
  <si>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</si>
  <si>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</si>
  <si>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</si>
  <si>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</si>
  <si>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</si>
  <si>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</si>
  <si>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</si>
  <si>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</si>
  <si>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</si>
  <si>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</si>
  <si>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</si>
  <si>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</si>
  <si>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</si>
  <si>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</si>
  <si>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</si>
  <si>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</si>
  <si>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</si>
  <si>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</si>
  <si>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</si>
  <si>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</si>
  <si>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</si>
  <si>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</si>
  <si>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</si>
  <si>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</si>
  <si>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</si>
  <si>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</si>
  <si>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</si>
  <si>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</si>
  <si>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</si>
  <si>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</si>
  <si>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</si>
  <si>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</si>
  <si>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</si>
  <si>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</si>
  <si>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</si>
  <si>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</si>
  <si>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</si>
  <si>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</si>
  <si>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</si>
  <si>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</si>
  <si>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</si>
  <si>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</si>
  <si>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</si>
  <si>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</si>
  <si>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</si>
  <si>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</si>
  <si>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</si>
  <si>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</si>
  <si>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</si>
  <si>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</si>
  <si>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</si>
  <si>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</si>
  <si>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</si>
  <si>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</si>
  <si>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</si>
  <si>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</si>
  <si>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</si>
  <si>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</si>
  <si>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</si>
  <si>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</si>
  <si>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</si>
  <si>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</si>
  <si>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</si>
  <si>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</si>
  <si>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</si>
  <si>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</si>
  <si>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</si>
  <si>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</si>
  <si>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</si>
  <si>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</si>
  <si>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</si>
  <si>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</si>
  <si>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</si>
  <si>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</si>
  <si>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</si>
  <si>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</si>
  <si>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</si>
  <si>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</si>
  <si>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</si>
  <si>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</si>
  <si>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</si>
  <si>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</si>
  <si>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</si>
  <si>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</si>
  <si>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</si>
  <si>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</si>
  <si>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</si>
  <si>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</si>
  <si>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</si>
  <si>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</si>
  <si>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</si>
  <si>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</si>
  <si>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</si>
  <si>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</si>
  <si>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</si>
  <si>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</si>
  <si>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</si>
  <si>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</si>
  <si>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</si>
  <si>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</si>
  <si>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</si>
  <si>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</si>
  <si>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</si>
  <si>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</si>
  <si>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</si>
  <si>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</si>
  <si>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</si>
  <si>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</si>
  <si>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</si>
  <si>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</si>
  <si>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</si>
  <si>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</si>
  <si>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</si>
  <si>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</si>
  <si>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</si>
  <si>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</si>
  <si>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</si>
  <si>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</si>
  <si>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</si>
  <si>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</si>
  <si>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</si>
  <si>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</si>
  <si>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</si>
  <si>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</si>
  <si>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</si>
  <si>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</si>
  <si>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</si>
  <si>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</si>
  <si>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</si>
  <si>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</si>
  <si>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</si>
  <si>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</si>
  <si>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</si>
  <si>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</si>
  <si>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</si>
  <si>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</si>
  <si>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</si>
  <si>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</si>
  <si>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</si>
  <si>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</si>
  <si>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</si>
  <si>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</si>
  <si>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</si>
  <si>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</si>
  <si>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</si>
  <si>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</si>
  <si>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</si>
  <si>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</si>
  <si>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</si>
  <si>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</si>
  <si>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</si>
  <si>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</si>
  <si>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</si>
  <si>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</si>
  <si>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</si>
  <si>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</si>
  <si>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</si>
  <si>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</si>
  <si>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</si>
  <si>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</si>
  <si>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</si>
  <si>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</si>
  <si>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</si>
  <si>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</si>
  <si>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</si>
  <si>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</si>
  <si>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</si>
  <si>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</si>
  <si>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</si>
  <si>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</si>
  <si>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</si>
  <si>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</si>
  <si>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</si>
  <si>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</si>
  <si>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</si>
  <si>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</si>
  <si>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</si>
  <si>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</si>
  <si>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</si>
  <si>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</si>
  <si>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</si>
  <si>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</si>
  <si>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</si>
  <si>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</si>
  <si>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</si>
  <si>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</si>
  <si>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</si>
  <si>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</si>
  <si>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</si>
  <si>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</si>
  <si>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</si>
  <si>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</si>
  <si>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</si>
  <si>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</si>
  <si>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</si>
  <si>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</si>
  <si>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</si>
  <si>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</si>
  <si>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</si>
  <si>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</si>
  <si>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</si>
  <si>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</si>
  <si>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</si>
  <si>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</si>
  <si>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</si>
  <si>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</si>
  <si>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</si>
  <si>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</si>
  <si>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</si>
  <si>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</si>
  <si>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</si>
  <si>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</si>
  <si>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</si>
  <si>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</si>
  <si>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</si>
  <si>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</si>
  <si>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</si>
  <si>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</si>
  <si>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</si>
  <si>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</si>
  <si>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</si>
  <si>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</si>
  <si>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</si>
  <si>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</si>
  <si>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</si>
  <si>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</si>
  <si>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</si>
  <si>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</si>
  <si>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</si>
  <si>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</si>
  <si>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</si>
  <si>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</si>
  <si>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</si>
  <si>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</si>
  <si>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</si>
  <si>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</si>
  <si>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</si>
  <si>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</si>
  <si>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</si>
  <si>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</si>
  <si>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</si>
  <si>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</si>
  <si>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</si>
  <si>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</si>
  <si>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</si>
  <si>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</si>
  <si>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</si>
  <si>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</si>
  <si>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</si>
  <si>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</si>
  <si>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</si>
  <si>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</si>
  <si>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</si>
  <si>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</si>
  <si>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</si>
  <si>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</si>
  <si>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</si>
  <si>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</si>
  <si>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</si>
  <si>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</si>
  <si>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</si>
  <si>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</si>
  <si>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</si>
  <si>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</si>
  <si>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</si>
  <si>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</si>
  <si>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</si>
  <si>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</si>
  <si>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</si>
  <si>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</si>
  <si>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</si>
  <si>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</si>
  <si>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</si>
  <si>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</si>
  <si>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</si>
  <si>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</si>
  <si>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</si>
  <si>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</si>
  <si>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</si>
  <si>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</si>
  <si>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</si>
  <si>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</si>
  <si>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</si>
  <si>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</si>
  <si>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</si>
  <si>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</si>
  <si>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</si>
  <si>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</si>
  <si>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</si>
  <si>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</si>
  <si>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</si>
  <si>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</si>
  <si>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</si>
  <si>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</si>
  <si>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</si>
  <si>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</si>
  <si>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</si>
  <si>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</si>
  <si>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</si>
  <si>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</si>
  <si>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</si>
  <si>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</si>
  <si>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</si>
  <si>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</si>
  <si>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</si>
  <si>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</si>
  <si>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</si>
  <si>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</si>
  <si>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</si>
  <si>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</si>
  <si>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</si>
  <si>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</si>
  <si>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</si>
  <si>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</si>
  <si>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</si>
  <si>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</si>
  <si>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</si>
  <si>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</si>
  <si>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</si>
  <si>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</si>
  <si>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</si>
  <si>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</si>
  <si>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</si>
  <si>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</si>
  <si>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</si>
  <si>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</si>
  <si>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</si>
  <si>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</si>
  <si>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</si>
  <si>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</si>
  <si>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</si>
  <si>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</si>
  <si>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</si>
  <si>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</si>
  <si>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</si>
  <si>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</si>
  <si>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</si>
  <si>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</si>
  <si>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</si>
  <si>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</si>
  <si>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</si>
  <si>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</si>
  <si>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</si>
  <si>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</si>
  <si>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</si>
  <si>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</si>
  <si>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</si>
  <si>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</si>
  <si>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</si>
  <si>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</si>
  <si>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</si>
  <si>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</si>
  <si>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</si>
  <si>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</si>
  <si>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</si>
  <si>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</si>
  <si>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</si>
  <si>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</si>
  <si>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</si>
  <si>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</si>
  <si>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</si>
  <si>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</si>
  <si>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</si>
  <si>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</si>
  <si>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</si>
  <si>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</si>
  <si>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</si>
  <si>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</si>
  <si>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</si>
  <si>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</si>
  <si>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</si>
  <si>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</si>
  <si>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</si>
  <si>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</si>
  <si>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</si>
  <si>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</si>
  <si>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</si>
  <si>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</si>
  <si>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</si>
  <si>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</si>
  <si>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</si>
  <si>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</si>
  <si>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</si>
  <si>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</si>
  <si>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</si>
  <si>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</si>
  <si>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</si>
  <si>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</si>
  <si>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</si>
  <si>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</si>
  <si>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</si>
  <si>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</si>
  <si>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</si>
  <si>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</si>
  <si>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</si>
  <si>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</si>
  <si>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</si>
  <si>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</si>
  <si>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</si>
  <si>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</si>
  <si>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</si>
  <si>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</si>
  <si>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</si>
  <si>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</si>
  <si>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</si>
  <si>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</si>
  <si>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</si>
  <si>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</si>
  <si>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</si>
  <si>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</si>
  <si>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</si>
  <si>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</si>
  <si>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</si>
  <si>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</si>
  <si>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</si>
  <si>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</si>
  <si>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</si>
  <si>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</si>
  <si>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</si>
  <si>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</si>
  <si>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</si>
  <si>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</si>
  <si>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</si>
  <si>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</si>
  <si>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</si>
  <si>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</si>
  <si>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</si>
  <si>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</si>
  <si>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</si>
  <si>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</si>
  <si>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</si>
  <si>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</si>
  <si>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</si>
  <si>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</si>
  <si>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</si>
  <si>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</si>
  <si>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</si>
  <si>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</si>
  <si>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</si>
  <si>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</si>
  <si>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</si>
  <si>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</si>
  <si>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</si>
  <si>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</si>
  <si>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</si>
  <si>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</si>
  <si>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</si>
  <si>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</si>
  <si>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</si>
  <si>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</si>
  <si>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</si>
  <si>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</si>
  <si>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</si>
  <si>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</si>
  <si>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</si>
  <si>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</si>
  <si>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</si>
  <si>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</si>
  <si>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</si>
  <si>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</si>
  <si>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</si>
  <si>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</si>
  <si>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</si>
  <si>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</si>
  <si>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</si>
  <si>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</si>
  <si>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</si>
  <si>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</si>
  <si>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</si>
  <si>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</si>
  <si>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</si>
  <si>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</si>
  <si>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</si>
  <si>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</si>
  <si>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</si>
  <si>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</si>
  <si>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</si>
  <si>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</si>
  <si>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</si>
  <si>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</si>
  <si>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</si>
  <si>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</si>
  <si>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</si>
  <si>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</si>
  <si>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</si>
  <si>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</si>
  <si>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</si>
  <si>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</si>
  <si>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</si>
  <si>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</si>
  <si>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</si>
  <si>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</si>
  <si>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</si>
  <si>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</si>
  <si>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</si>
  <si>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</si>
  <si>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</si>
  <si>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</si>
  <si>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</si>
  <si>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</si>
  <si>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</si>
  <si>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</si>
  <si>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</si>
  <si>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</si>
  <si>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</si>
  <si>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</si>
  <si>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</si>
  <si>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</si>
  <si>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</si>
  <si>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</si>
  <si>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</si>
  <si>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</si>
  <si>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</si>
  <si>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</si>
  <si>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</si>
  <si>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</si>
  <si>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</si>
  <si>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</si>
  <si>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</si>
  <si>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</si>
  <si>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</si>
  <si>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</si>
  <si>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</si>
  <si>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</si>
  <si>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</si>
  <si>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</si>
  <si>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</si>
  <si>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</si>
  <si>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</si>
  <si>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</si>
  <si>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</si>
  <si>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</si>
  <si>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</si>
  <si>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</si>
  <si>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</si>
  <si>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</si>
  <si>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</si>
  <si>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</si>
  <si>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</si>
  <si>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</si>
  <si>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</si>
  <si>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</si>
  <si>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</si>
  <si>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</si>
  <si>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</si>
  <si>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</si>
  <si>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</si>
  <si>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</si>
  <si>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</si>
  <si>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</si>
  <si>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</si>
  <si>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</si>
  <si>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</si>
  <si>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</si>
  <si>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</si>
  <si>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</si>
  <si>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</si>
  <si>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</si>
  <si>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</si>
  <si>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</si>
  <si>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</si>
  <si>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</si>
  <si>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</si>
  <si>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</si>
  <si>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</si>
  <si>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</si>
  <si>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</si>
  <si>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</si>
  <si>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</si>
  <si>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</si>
  <si>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</si>
  <si>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</si>
  <si>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</si>
  <si>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</si>
  <si>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</si>
  <si>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</si>
  <si>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</si>
  <si>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</si>
  <si>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</si>
  <si>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</si>
  <si>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</si>
  <si>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</si>
  <si>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</si>
  <si>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</si>
  <si>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</si>
  <si>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</si>
  <si>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</si>
  <si>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</si>
  <si>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</si>
  <si>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</si>
  <si>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</si>
  <si>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</si>
  <si>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</si>
  <si>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</si>
  <si>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</si>
  <si>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</si>
  <si>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</si>
  <si>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</si>
  <si>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</si>
  <si>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</si>
  <si>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</si>
  <si>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</si>
  <si>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</si>
  <si>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</si>
  <si>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</si>
  <si>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</si>
  <si>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</si>
  <si>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</si>
  <si>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</si>
  <si>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</si>
  <si>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</si>
  <si>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</si>
  <si>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</si>
  <si>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</si>
  <si>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</si>
  <si>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</si>
  <si>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</si>
  <si>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</si>
  <si>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</si>
  <si>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</si>
  <si>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</si>
  <si>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</si>
  <si>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</si>
  <si>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</si>
  <si>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</si>
  <si>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</si>
  <si>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</si>
  <si>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</si>
  <si>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</si>
  <si>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</si>
  <si>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</si>
  <si>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</si>
  <si>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</si>
  <si>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</si>
  <si>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</si>
  <si>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</si>
  <si>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</si>
  <si>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</si>
  <si>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</si>
  <si>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</si>
  <si>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</si>
  <si>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</si>
  <si>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</si>
  <si>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</si>
  <si>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</si>
  <si>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</si>
  <si>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</si>
  <si>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</si>
  <si>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</si>
  <si>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</si>
  <si>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</si>
  <si>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</si>
  <si>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</si>
  <si>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</si>
  <si>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</si>
  <si>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</si>
  <si>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</si>
  <si>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</si>
  <si>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</si>
  <si>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</si>
  <si>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</si>
  <si>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</si>
  <si>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</si>
  <si>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</si>
  <si>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</si>
  <si>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</si>
  <si>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</si>
  <si>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</si>
  <si>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</si>
  <si>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</si>
  <si>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</si>
  <si>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</si>
  <si>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</si>
  <si>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</si>
  <si>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</si>
  <si>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</si>
  <si>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</si>
  <si>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</si>
  <si>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</si>
  <si>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</si>
  <si>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</si>
  <si>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</si>
  <si>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</si>
  <si>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</si>
  <si>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</si>
  <si>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</si>
  <si>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</si>
  <si>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</si>
  <si>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</si>
  <si>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</si>
  <si>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</si>
  <si>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</si>
  <si>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</si>
  <si>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</si>
  <si>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</si>
  <si>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</si>
  <si>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</si>
  <si>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</si>
  <si>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</si>
  <si>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</si>
  <si>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</si>
  <si>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</si>
  <si>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</si>
  <si>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</si>
  <si>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</si>
  <si>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</si>
  <si>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</si>
  <si>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</si>
  <si>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</si>
  <si>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</si>
  <si>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</si>
  <si>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</si>
  <si>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</si>
  <si>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</si>
  <si>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</si>
  <si>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</si>
  <si>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</si>
  <si>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</si>
  <si>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</si>
  <si>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</si>
  <si>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</si>
  <si>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</si>
  <si>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</si>
  <si>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</si>
  <si>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</si>
  <si>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</si>
  <si>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</si>
  <si>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</si>
  <si>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</si>
  <si>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</si>
  <si>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</si>
  <si>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</si>
  <si>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</si>
  <si>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</si>
  <si>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</si>
  <si>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</si>
  <si>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</si>
  <si>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</si>
  <si>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</si>
  <si>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</si>
  <si>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</si>
  <si>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</si>
  <si>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</si>
  <si>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</si>
  <si>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</si>
  <si>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</si>
  <si>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</si>
  <si>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</si>
  <si>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</si>
  <si>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</si>
  <si>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</si>
  <si>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</si>
  <si>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</si>
  <si>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</si>
  <si>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</si>
  <si>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</si>
  <si>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</si>
  <si>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</si>
  <si>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</si>
  <si>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</si>
  <si>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</si>
  <si>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</si>
  <si>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</si>
  <si>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</si>
  <si>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</si>
  <si>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</si>
  <si>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</si>
  <si>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</si>
  <si>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</si>
  <si>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</si>
  <si>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</si>
  <si>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</si>
  <si>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</si>
  <si>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</si>
  <si>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</si>
  <si>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</si>
  <si>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</si>
  <si>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</si>
  <si>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</si>
  <si>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</si>
  <si>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</si>
  <si>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</si>
  <si>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</si>
  <si>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</si>
  <si>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</si>
  <si>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</si>
  <si>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</si>
  <si>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</si>
  <si>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</si>
  <si>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</si>
  <si>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</si>
  <si>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</si>
  <si>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</si>
  <si>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</si>
  <si>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</si>
  <si>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</si>
  <si>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</si>
  <si>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</si>
  <si>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</si>
  <si>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</si>
  <si>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</si>
  <si>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</si>
  <si>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</si>
  <si>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</si>
  <si>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</si>
  <si>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</si>
  <si>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</si>
  <si>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</si>
  <si>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</si>
  <si>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</si>
  <si>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</si>
  <si>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</si>
  <si>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</si>
  <si>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</si>
  <si>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</si>
  <si>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</si>
  <si>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</si>
  <si>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</si>
  <si>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</si>
  <si>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</si>
  <si>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</si>
  <si>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</si>
  <si>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</si>
  <si>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</si>
  <si>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</si>
  <si>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</si>
  <si>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</si>
  <si>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</si>
  <si>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</si>
  <si>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</si>
  <si>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</si>
  <si>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</si>
  <si>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</si>
  <si>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</si>
  <si>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</si>
  <si>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</si>
  <si>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</si>
  <si>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</si>
  <si>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</si>
  <si>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</si>
  <si>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</si>
  <si>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</si>
  <si>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</si>
  <si>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</si>
  <si>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</si>
  <si>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</si>
  <si>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</si>
  <si>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</si>
  <si>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</si>
  <si>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</si>
  <si>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</si>
  <si>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</si>
  <si>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</si>
  <si>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</si>
  <si>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</si>
  <si>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</si>
  <si>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</si>
  <si>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</si>
  <si>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</si>
  <si>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</si>
  <si>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</si>
  <si>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</si>
  <si>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</si>
  <si>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</si>
  <si>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</si>
  <si>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</si>
  <si>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</si>
  <si>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</si>
  <si>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</si>
  <si>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</si>
  <si>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</si>
  <si>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</si>
  <si>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</si>
  <si>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</si>
  <si>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</si>
  <si>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</si>
  <si>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</si>
  <si>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</si>
  <si>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</si>
  <si>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</si>
  <si>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</si>
  <si>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</si>
  <si>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</si>
  <si>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</si>
  <si>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</si>
  <si>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</si>
  <si>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</si>
  <si>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</si>
  <si>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</si>
  <si>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</si>
  <si>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</si>
  <si>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</si>
  <si>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</si>
  <si>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</si>
  <si>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</si>
  <si>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</si>
  <si>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</si>
  <si>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</si>
  <si>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</si>
  <si>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</si>
  <si>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</si>
  <si>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</si>
  <si>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</si>
  <si>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</si>
  <si>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</si>
  <si>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</si>
  <si>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</si>
  <si>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</si>
  <si>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</si>
  <si>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</si>
  <si>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</si>
  <si>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</si>
  <si>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</si>
  <si>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</si>
  <si>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</si>
  <si>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</si>
  <si>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</si>
  <si>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</si>
  <si>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</si>
  <si>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</si>
  <si>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</si>
  <si>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</si>
  <si>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</si>
  <si>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</si>
  <si>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</si>
  <si>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</si>
  <si>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</si>
  <si>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</si>
  <si>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</si>
  <si>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</si>
  <si>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</si>
  <si>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</si>
  <si>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</si>
  <si>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</si>
  <si>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</si>
  <si>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</si>
  <si>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</si>
  <si>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</si>
  <si>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</si>
  <si>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</si>
  <si>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</si>
  <si>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</si>
  <si>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</si>
  <si>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</si>
  <si>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</si>
  <si>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</si>
  <si>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</si>
  <si>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</si>
  <si>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</si>
  <si>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</si>
  <si>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</si>
  <si>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</si>
  <si>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</si>
  <si>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</si>
  <si>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</si>
  <si>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</si>
  <si>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</si>
  <si>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</si>
  <si>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</si>
  <si>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</si>
  <si>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</si>
  <si>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</si>
  <si>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</si>
  <si>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</si>
  <si>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</si>
  <si>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</si>
  <si>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</si>
  <si>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</si>
  <si>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</si>
  <si>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</si>
  <si>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</si>
  <si>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</si>
  <si>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</si>
  <si>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</si>
  <si>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</si>
  <si>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</si>
  <si>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</si>
  <si>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</si>
  <si>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</si>
  <si>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</si>
  <si>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</si>
  <si>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</si>
  <si>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</si>
  <si>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</si>
  <si>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</si>
  <si>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</si>
  <si>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</si>
  <si>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</si>
  <si>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</si>
  <si>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</si>
  <si>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</si>
  <si>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</si>
  <si>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</si>
  <si>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</si>
  <si>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</si>
  <si>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</si>
  <si>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</si>
  <si>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</si>
  <si>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</si>
  <si>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</si>
  <si>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</si>
  <si>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</si>
  <si>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</si>
  <si>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</si>
  <si>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</si>
  <si>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</si>
  <si>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</si>
  <si>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</si>
  <si>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</si>
  <si>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</si>
  <si>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</si>
  <si>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</si>
  <si>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</si>
  <si>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</si>
  <si>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</si>
  <si>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</si>
  <si>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</si>
  <si>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</si>
  <si>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</si>
  <si>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</si>
  <si>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</si>
  <si>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</si>
  <si>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</si>
  <si>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</si>
  <si>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</si>
  <si>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</si>
  <si>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</si>
  <si>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</si>
  <si>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</si>
  <si>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</si>
  <si>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</si>
  <si>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</si>
  <si>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</si>
  <si>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</si>
  <si>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</si>
  <si>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</si>
  <si>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</si>
  <si>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</si>
  <si>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</si>
  <si>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</si>
  <si>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</si>
  <si>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</si>
  <si>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</si>
  <si>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</si>
  <si>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</si>
  <si>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</si>
  <si>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</si>
  <si>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</si>
  <si>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</si>
  <si>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</si>
  <si>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</si>
  <si>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</si>
  <si>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</si>
  <si>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</si>
  <si>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</si>
  <si>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</si>
  <si>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</si>
  <si>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</si>
  <si>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</si>
  <si>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</si>
  <si>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</si>
  <si>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</si>
  <si>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</si>
  <si>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</si>
  <si>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</si>
  <si>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</si>
  <si>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</si>
  <si>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</si>
  <si>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</si>
  <si>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</si>
  <si>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</si>
  <si>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</si>
  <si>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</si>
  <si>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</si>
  <si>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</si>
  <si>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</si>
  <si>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</si>
  <si>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</si>
  <si>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</si>
  <si>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</si>
  <si>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</si>
  <si>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</si>
  <si>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</si>
  <si>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</si>
  <si>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</si>
  <si>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</si>
  <si>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</si>
  <si>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</si>
  <si>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</si>
  <si>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</si>
  <si>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</si>
  <si>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</si>
  <si>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</si>
  <si>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</si>
  <si>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</si>
  <si>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</si>
  <si>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</si>
  <si>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</si>
  <si>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</si>
  <si>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</si>
  <si>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</si>
  <si>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</si>
  <si>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</si>
  <si>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</si>
  <si>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</si>
  <si>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</si>
  <si>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</si>
  <si>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</si>
  <si>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</si>
  <si>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</si>
  <si>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</si>
  <si>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</si>
  <si>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</si>
  <si>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</si>
  <si>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</si>
  <si>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</si>
  <si>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</si>
  <si>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</si>
  <si>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</si>
  <si>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</si>
  <si>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</si>
  <si>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</si>
  <si>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</si>
  <si>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</si>
  <si>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</si>
  <si>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</si>
  <si>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</si>
  <si>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</si>
  <si>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</si>
  <si>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</si>
  <si>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</si>
  <si>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</si>
  <si>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</si>
  <si>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</si>
  <si>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</si>
  <si>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</si>
  <si>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</si>
  <si>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</si>
  <si>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</si>
  <si>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</si>
  <si>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</si>
  <si>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</si>
  <si>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</si>
  <si>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</si>
  <si>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</si>
  <si>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</si>
  <si>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</si>
  <si>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</si>
  <si>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</si>
  <si>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</si>
  <si>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</si>
  <si>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</si>
  <si>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</si>
  <si>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</si>
  <si>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</si>
  <si>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</si>
  <si>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</si>
  <si>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</si>
  <si>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</si>
  <si>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</si>
  <si>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</si>
  <si>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</si>
  <si>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</si>
  <si>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</si>
  <si>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</si>
  <si>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</si>
  <si>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</si>
  <si>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</si>
  <si>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</si>
  <si>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</si>
  <si>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</si>
  <si>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</si>
  <si>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</si>
  <si>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</si>
  <si>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</si>
  <si>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</si>
  <si>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</si>
  <si>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</si>
  <si>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</si>
  <si>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</si>
  <si>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</si>
  <si>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</si>
  <si>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</si>
  <si>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</si>
  <si>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</si>
  <si>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</si>
  <si>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</si>
  <si>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</si>
  <si>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</si>
  <si>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</si>
  <si>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</si>
  <si>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</si>
  <si>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</si>
  <si>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</si>
  <si>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</si>
  <si>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</si>
  <si>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</si>
  <si>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</si>
  <si>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</si>
  <si>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</si>
  <si>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</si>
  <si>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</si>
  <si>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</si>
  <si>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</si>
  <si>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</si>
  <si>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</si>
  <si>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</si>
  <si>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</si>
  <si>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</si>
  <si>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</si>
  <si>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</si>
  <si>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</si>
  <si>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</si>
  <si>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</si>
  <si>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</si>
  <si>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</si>
  <si>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</si>
  <si>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</si>
  <si>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</si>
  <si>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</si>
  <si>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</si>
  <si>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</si>
  <si>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</si>
  <si>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</si>
  <si>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</si>
  <si>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</si>
  <si>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</si>
  <si>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</si>
  <si>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</si>
  <si>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</si>
  <si>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</si>
  <si>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</si>
  <si>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</si>
  <si>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</si>
  <si>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</si>
  <si>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</si>
  <si>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</si>
  <si>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</si>
  <si>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</si>
  <si>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</si>
  <si>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</si>
  <si>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</si>
  <si>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</si>
  <si>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</si>
  <si>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</si>
  <si>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</si>
  <si>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</si>
  <si>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</si>
  <si>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</si>
  <si>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</si>
  <si>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</si>
  <si>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</si>
  <si>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</si>
  <si>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</si>
  <si>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</si>
  <si>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</si>
  <si>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</si>
  <si>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</si>
  <si>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</si>
  <si>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</si>
  <si>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</si>
  <si>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</si>
  <si>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</si>
  <si>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</si>
  <si>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</si>
  <si>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</si>
  <si>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</si>
  <si>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</si>
  <si>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</si>
  <si>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</si>
  <si>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</si>
  <si>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</si>
  <si>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</si>
  <si>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</si>
  <si>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</si>
  <si>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</si>
  <si>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</si>
  <si>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</si>
  <si>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</si>
  <si>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</si>
  <si>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</si>
  <si>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</si>
  <si>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</si>
  <si>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</si>
  <si>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</si>
  <si>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</si>
  <si>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</si>
  <si>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</si>
  <si>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</si>
  <si>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</si>
  <si>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</si>
  <si>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</si>
  <si>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</si>
  <si>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</si>
  <si>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</si>
  <si>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</si>
  <si>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</si>
  <si>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</si>
  <si>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</si>
  <si>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</si>
  <si>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</si>
  <si>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</si>
  <si>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</si>
  <si>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</si>
  <si>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</si>
  <si>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</si>
  <si>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</si>
  <si>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</si>
  <si>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</si>
  <si>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</si>
  <si>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</si>
  <si>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</si>
  <si>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</si>
  <si>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</si>
  <si>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</si>
  <si>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</si>
  <si>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</si>
  <si>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</si>
  <si>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</si>
  <si>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</si>
  <si>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</si>
  <si>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</si>
  <si>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</si>
  <si>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</si>
  <si>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</si>
  <si>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</si>
  <si>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</si>
  <si>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</si>
  <si>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</si>
  <si>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</si>
  <si>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</si>
  <si>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</si>
  <si>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</si>
  <si>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</si>
  <si>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</si>
  <si>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</si>
  <si>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</si>
  <si>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</si>
  <si>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</si>
  <si>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</si>
  <si>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</si>
  <si>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</si>
  <si>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</si>
  <si>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</si>
  <si>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</si>
  <si>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</si>
  <si>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</si>
  <si>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</si>
  <si>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</si>
  <si>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</si>
  <si>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</si>
  <si>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</si>
  <si>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</si>
  <si>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</si>
  <si>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</si>
  <si>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</si>
  <si>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</si>
  <si>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</si>
  <si>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</si>
  <si>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</si>
  <si>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</si>
  <si>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</si>
  <si>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</si>
  <si>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</si>
  <si>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</si>
  <si>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</si>
  <si>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</si>
  <si>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</si>
  <si>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</si>
  <si>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</si>
  <si>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</si>
  <si>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</si>
  <si>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</si>
  <si>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</si>
  <si>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</si>
  <si>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</si>
  <si>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</si>
  <si>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</si>
  <si>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</si>
  <si>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</si>
  <si>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</si>
  <si>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</si>
  <si>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</si>
  <si>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</si>
  <si>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</si>
  <si>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</si>
  <si>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</si>
  <si>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</si>
  <si>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</si>
  <si>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</si>
  <si>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</si>
  <si>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</si>
  <si>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</si>
  <si>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</si>
  <si>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</si>
  <si>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</si>
  <si>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</si>
  <si>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</si>
  <si>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</si>
  <si>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</si>
  <si>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</si>
  <si>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</si>
  <si>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</si>
  <si>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</si>
  <si>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</si>
  <si>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</si>
  <si>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</si>
  <si>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</si>
  <si>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</si>
  <si>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</si>
  <si>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</si>
  <si>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</si>
  <si>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</si>
  <si>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</si>
  <si>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</si>
  <si>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</si>
  <si>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</si>
  <si>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</si>
  <si>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</si>
  <si>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</si>
  <si>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</si>
  <si>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</si>
  <si>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</si>
  <si>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</si>
  <si>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</si>
  <si>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</si>
  <si>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</si>
  <si>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</si>
  <si>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</si>
  <si>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</si>
  <si>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</si>
  <si>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</si>
  <si>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</si>
  <si>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</si>
  <si>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</si>
  <si>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</si>
  <si>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</si>
  <si>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</si>
  <si>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</si>
  <si>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</si>
  <si>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</si>
  <si>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</si>
  <si>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</si>
  <si>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</si>
  <si>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</si>
  <si>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</si>
  <si>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</si>
  <si>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</si>
  <si>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</si>
  <si>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</si>
  <si>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</si>
  <si>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</si>
  <si>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</si>
  <si>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</si>
  <si>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</si>
  <si>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</si>
  <si>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</si>
  <si>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</si>
  <si>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</si>
  <si>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</si>
  <si>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</si>
  <si>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</si>
  <si>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</si>
  <si>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</si>
  <si>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</si>
  <si>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</si>
  <si>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</si>
  <si>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</si>
  <si>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</si>
  <si>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</si>
  <si>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</si>
  <si>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</si>
  <si>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</si>
  <si>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</si>
  <si>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</si>
  <si>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</si>
  <si>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</si>
  <si>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</si>
  <si>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</si>
  <si>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</si>
  <si>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</si>
  <si>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</si>
  <si>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</si>
  <si>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</si>
  <si>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</si>
  <si>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</si>
  <si>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</si>
  <si>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</si>
  <si>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</si>
  <si>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</si>
  <si>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</si>
  <si>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</si>
  <si>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</si>
  <si>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</si>
  <si>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</si>
  <si>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</si>
  <si>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</si>
  <si>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</si>
  <si>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</si>
  <si>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</si>
  <si>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</si>
  <si>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</si>
  <si>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</si>
  <si>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</si>
  <si>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</si>
  <si>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</si>
  <si>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</si>
  <si>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</si>
  <si>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</si>
  <si>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</si>
  <si>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</si>
  <si>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</si>
  <si>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</si>
  <si>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</si>
  <si>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</si>
  <si>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</si>
  <si>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</si>
  <si>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</si>
  <si>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</si>
  <si>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</si>
  <si>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</si>
  <si>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</si>
  <si>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</si>
  <si>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</si>
  <si>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</si>
  <si>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</si>
  <si>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</si>
  <si>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</si>
  <si>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</si>
  <si>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</si>
  <si>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</si>
  <si>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</si>
  <si>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</si>
  <si>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</si>
  <si>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</si>
  <si>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</si>
  <si>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</si>
  <si>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</si>
  <si>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</si>
  <si>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</si>
  <si>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</si>
  <si>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</si>
  <si>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</si>
  <si>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</si>
  <si>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</si>
  <si>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</si>
  <si>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</si>
  <si>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</si>
  <si>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</si>
  <si>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</si>
  <si>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</si>
  <si>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</si>
  <si>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</si>
  <si>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</si>
  <si>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</si>
  <si>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</si>
  <si>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</si>
  <si>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</si>
  <si>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</si>
  <si>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</si>
  <si>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</si>
  <si>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</si>
  <si>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</si>
  <si>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</si>
  <si>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</si>
  <si>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</si>
  <si>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</si>
  <si>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</si>
  <si>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</si>
  <si>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</si>
  <si>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</si>
  <si>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</si>
  <si>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</si>
  <si>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</si>
  <si>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</si>
  <si>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</si>
  <si>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</si>
  <si>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</si>
  <si>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</si>
  <si>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</si>
  <si>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</si>
  <si>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</si>
  <si>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</si>
  <si>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</si>
  <si>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</si>
  <si>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</si>
  <si>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</si>
  <si>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</si>
  <si>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</si>
  <si>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</si>
  <si>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</si>
  <si>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</si>
  <si>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</si>
  <si>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</si>
  <si>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</si>
  <si>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</si>
  <si>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</si>
  <si>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</si>
  <si>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</si>
  <si>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</si>
  <si>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</si>
  <si>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</si>
  <si>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</si>
  <si>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</si>
  <si>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</si>
  <si>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</si>
  <si>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</si>
  <si>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</si>
  <si>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</si>
  <si>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</si>
  <si>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</si>
  <si>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</si>
  <si>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</si>
  <si>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</si>
  <si>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</si>
  <si>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</si>
  <si>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</si>
  <si>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</si>
  <si>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</si>
  <si>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</si>
  <si>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</si>
  <si>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</si>
  <si>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</si>
  <si>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</si>
  <si>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</si>
  <si>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</si>
  <si>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</si>
  <si>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</si>
  <si>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</si>
  <si>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</si>
  <si>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</si>
  <si>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</si>
  <si>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</si>
  <si>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</si>
  <si>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</si>
  <si>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</si>
  <si>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</si>
  <si>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</si>
  <si>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</si>
  <si>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</si>
  <si>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</si>
  <si>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</si>
  <si>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</si>
  <si>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</si>
  <si>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</si>
  <si>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</si>
  <si>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</si>
  <si>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</si>
  <si>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</si>
  <si>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</si>
  <si>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</si>
  <si>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</si>
  <si>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</si>
  <si>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</si>
  <si>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</si>
  <si>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</si>
  <si>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</si>
  <si>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</si>
  <si>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</si>
  <si>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</si>
  <si>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</si>
  <si>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</si>
  <si>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</si>
  <si>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</si>
  <si>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</si>
  <si>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</si>
  <si>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</si>
  <si>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</si>
  <si>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</si>
  <si>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</si>
  <si>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</si>
  <si>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</si>
  <si>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</si>
  <si>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</si>
  <si>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</si>
  <si>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</si>
  <si>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</si>
  <si>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</si>
  <si>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</si>
  <si>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</si>
  <si>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</si>
  <si>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</si>
  <si>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</si>
  <si>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</si>
  <si>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</si>
  <si>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</si>
  <si>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</si>
  <si>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</si>
  <si>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</si>
  <si>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</si>
  <si>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</si>
  <si>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</si>
  <si>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</si>
  <si>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</si>
  <si>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</si>
  <si>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</si>
  <si>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</si>
  <si>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</si>
  <si>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</si>
  <si>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</si>
  <si>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</si>
  <si>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</si>
  <si>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</si>
  <si>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</si>
  <si>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</si>
  <si>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</si>
  <si>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</si>
  <si>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</si>
  <si>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</si>
  <si>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</si>
  <si>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</si>
  <si>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</si>
  <si>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</si>
  <si>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</si>
  <si>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</si>
  <si>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</si>
  <si>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</si>
  <si>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</si>
  <si>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</si>
  <si>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</si>
  <si>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</si>
  <si>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</si>
  <si>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</si>
  <si>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</si>
  <si>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</si>
  <si>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</si>
  <si>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</si>
  <si>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</si>
  <si>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</si>
  <si>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</si>
  <si>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</si>
  <si>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</si>
  <si>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</si>
  <si>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</si>
  <si>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</si>
  <si>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</si>
  <si>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</si>
  <si>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</si>
  <si>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</si>
  <si>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</si>
  <si>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</si>
  <si>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</si>
  <si>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</si>
  <si>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</si>
  <si>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</si>
  <si>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</si>
  <si>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</si>
  <si>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</si>
  <si>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</si>
  <si>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</si>
  <si>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</si>
  <si>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</si>
  <si>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</si>
  <si>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</si>
  <si>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</si>
  <si>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</si>
  <si>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</si>
  <si>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</si>
  <si>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</si>
  <si>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</si>
  <si>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</si>
  <si>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</si>
  <si>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</si>
  <si>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</si>
  <si>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</si>
  <si>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</si>
  <si>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</si>
  <si>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</si>
  <si>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</si>
  <si>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</si>
  <si>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</si>
  <si>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</si>
  <si>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</si>
  <si>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</si>
  <si>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</si>
  <si>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</si>
  <si>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</si>
  <si>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</si>
  <si>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</si>
  <si>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</si>
  <si>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</si>
  <si>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</si>
  <si>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</si>
  <si>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</si>
  <si>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</si>
  <si>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</si>
  <si>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</si>
  <si>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</si>
  <si>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</si>
  <si>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</si>
  <si>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</si>
  <si>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</si>
  <si>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</si>
  <si>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</si>
  <si>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</si>
  <si>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</si>
  <si>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</si>
  <si>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</si>
  <si>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</si>
  <si>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</si>
  <si>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</si>
  <si>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</si>
  <si>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</si>
  <si>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</si>
  <si>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</si>
  <si>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</si>
  <si>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</si>
  <si>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</si>
  <si>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</si>
  <si>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</si>
  <si>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</si>
  <si>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</si>
  <si>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</si>
  <si>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</si>
  <si>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</si>
  <si>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</si>
  <si>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</si>
  <si>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</si>
  <si>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</si>
  <si>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</si>
  <si>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</si>
  <si>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</si>
  <si>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</si>
  <si>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</si>
  <si>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</si>
  <si>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</si>
  <si>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</si>
  <si>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</si>
  <si>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</si>
  <si>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</si>
  <si>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</si>
  <si>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</si>
  <si>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</si>
  <si>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</si>
  <si>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</si>
  <si>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</si>
  <si>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</si>
  <si>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</si>
  <si>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</si>
  <si>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</si>
  <si>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</si>
  <si>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</si>
  <si>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</si>
  <si>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</si>
  <si>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</si>
  <si>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</si>
  <si>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</si>
  <si>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</si>
  <si>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</si>
  <si>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</si>
  <si>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</si>
  <si>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</si>
  <si>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</si>
  <si>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</si>
  <si>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</si>
  <si>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</si>
  <si>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</si>
  <si>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</si>
  <si>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</si>
  <si>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</si>
  <si>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</si>
  <si>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</si>
  <si>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</si>
  <si>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</si>
  <si>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</si>
  <si>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</si>
  <si>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</si>
  <si>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</si>
  <si>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</si>
  <si>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</si>
  <si>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</si>
  <si>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</si>
  <si>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</si>
  <si>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</si>
  <si>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</si>
  <si>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</si>
  <si>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</si>
  <si>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</si>
  <si>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</si>
  <si>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</si>
  <si>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</si>
  <si>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</si>
  <si>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</si>
  <si>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</si>
  <si>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</si>
  <si>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</si>
  <si>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</si>
  <si>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</si>
  <si>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</si>
  <si>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</si>
  <si>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</si>
  <si>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</si>
  <si>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</si>
  <si>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</si>
  <si>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</si>
  <si>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</si>
  <si>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</si>
  <si>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</si>
  <si>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</si>
  <si>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</si>
  <si>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</si>
  <si>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</si>
  <si>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</si>
  <si>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</si>
  <si>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</si>
  <si>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</si>
  <si>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</si>
  <si>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</si>
  <si>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</si>
  <si>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</si>
  <si>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</si>
  <si>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</si>
  <si>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</si>
  <si>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</si>
  <si>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</si>
  <si>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</si>
  <si>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</si>
  <si>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</si>
  <si>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</si>
  <si>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</si>
  <si>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</si>
  <si>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</si>
  <si>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</si>
  <si>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</si>
  <si>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</si>
  <si>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</si>
  <si>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</si>
  <si>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</si>
  <si>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</si>
  <si>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</si>
  <si>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</si>
  <si>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</si>
  <si>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</si>
  <si>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</si>
  <si>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</si>
  <si>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</si>
  <si>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</si>
  <si>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</si>
  <si>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</si>
  <si>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</si>
  <si>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</si>
  <si>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</si>
  <si>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</si>
  <si>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</si>
  <si>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</si>
  <si>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</si>
  <si>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</si>
  <si>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</si>
  <si>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</si>
  <si>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</si>
  <si>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</si>
  <si>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</si>
  <si>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</si>
  <si>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</si>
  <si>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</si>
  <si>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</si>
  <si>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</si>
  <si>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</si>
  <si>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</si>
  <si>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</si>
  <si>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</si>
  <si>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</si>
  <si>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</si>
  <si>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</si>
  <si>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</si>
  <si>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</si>
  <si>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</si>
  <si>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</si>
  <si>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</si>
  <si>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</si>
  <si>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</si>
  <si>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</si>
  <si>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</si>
  <si>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</si>
  <si>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</si>
  <si>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</si>
  <si>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</si>
  <si>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</si>
  <si>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</si>
  <si>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</si>
  <si>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</si>
  <si>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</si>
  <si>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</si>
  <si>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</si>
  <si>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</si>
  <si>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</si>
  <si>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</si>
  <si>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</si>
  <si>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</si>
  <si>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</si>
  <si>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</si>
  <si>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</si>
  <si>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</si>
  <si>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</si>
  <si>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</si>
  <si>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</si>
  <si>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</si>
  <si>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</si>
  <si>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</si>
  <si>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</si>
  <si>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</si>
  <si>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</si>
  <si>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</si>
  <si>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</si>
  <si>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</si>
  <si>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</si>
  <si>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</si>
  <si>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</si>
  <si>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</si>
  <si>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</si>
  <si>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</si>
  <si>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</si>
  <si>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</si>
  <si>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</si>
  <si>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</si>
  <si>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</si>
  <si>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</si>
  <si>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</si>
  <si>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</si>
  <si>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</si>
  <si>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</si>
  <si>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</si>
  <si>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</si>
  <si>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</si>
  <si>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</si>
  <si>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</si>
  <si>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</si>
  <si>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</si>
  <si>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</si>
  <si>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</si>
  <si>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</si>
  <si>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</si>
  <si>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</si>
  <si>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</si>
  <si>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</si>
  <si>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</si>
  <si>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</si>
  <si>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</si>
  <si>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</si>
  <si>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</si>
  <si>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</si>
  <si>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</si>
  <si>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</si>
  <si>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</si>
  <si>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</si>
  <si>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</si>
  <si>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</si>
  <si>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</si>
  <si>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</si>
  <si>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</si>
  <si>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</si>
  <si>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</si>
  <si>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</si>
  <si>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</si>
  <si>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</si>
  <si>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</si>
  <si>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</si>
  <si>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</si>
  <si>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</si>
  <si>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</si>
  <si>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</si>
  <si>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</si>
  <si>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</si>
  <si>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</si>
  <si>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</si>
  <si>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</si>
  <si>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</si>
  <si>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</si>
  <si>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</si>
  <si>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</si>
  <si>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</si>
  <si>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</si>
  <si>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</si>
  <si>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</si>
  <si>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</si>
  <si>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</si>
  <si>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</si>
  <si>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</si>
  <si>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</si>
  <si>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</si>
  <si>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</si>
  <si>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</si>
  <si>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</si>
  <si>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</si>
  <si>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</si>
  <si>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</si>
  <si>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</si>
  <si>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</si>
  <si>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</si>
  <si>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</si>
  <si>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</si>
  <si>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</si>
  <si>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</si>
  <si>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</si>
  <si>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</si>
  <si>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</si>
  <si>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</si>
  <si>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</si>
  <si>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</si>
  <si>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</si>
  <si>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</si>
  <si>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</si>
  <si>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</si>
  <si>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</si>
  <si>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</si>
  <si>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</si>
  <si>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</si>
  <si>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</si>
  <si>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</si>
  <si>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</si>
  <si>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</si>
  <si>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</si>
  <si>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</si>
  <si>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</si>
  <si>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</si>
  <si>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</si>
  <si>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</si>
  <si>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</si>
  <si>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</si>
  <si>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</si>
  <si>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</si>
  <si>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</si>
  <si>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</si>
  <si>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</si>
  <si>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</si>
  <si>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</si>
  <si>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</si>
  <si>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</si>
  <si>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</si>
  <si>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</si>
  <si>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</si>
  <si>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</si>
  <si>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</si>
  <si>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</si>
  <si>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</si>
  <si>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</si>
  <si>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</si>
  <si>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</si>
  <si>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</si>
  <si>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</si>
  <si>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</si>
  <si>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</si>
  <si>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</si>
  <si>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</si>
  <si>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</si>
  <si>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</si>
  <si>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</si>
  <si>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</si>
  <si>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</si>
  <si>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</si>
  <si>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</si>
  <si>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</si>
  <si>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</si>
  <si>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</si>
  <si>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</si>
  <si>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</si>
  <si>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</si>
  <si>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</si>
  <si>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</si>
  <si>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</si>
  <si>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</si>
  <si>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</si>
  <si>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</si>
  <si>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</si>
  <si>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</si>
  <si>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</si>
  <si>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</si>
  <si>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</si>
  <si>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</si>
  <si>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</si>
  <si>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</si>
  <si>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</si>
  <si>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</si>
  <si>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</si>
  <si>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</si>
  <si>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</si>
  <si>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</si>
  <si>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</si>
  <si>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</si>
  <si>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</si>
  <si>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</si>
  <si>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</si>
  <si>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</si>
  <si>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</si>
  <si>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</si>
  <si>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</si>
  <si>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</si>
  <si>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</si>
  <si>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</si>
  <si>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</si>
  <si>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</si>
  <si>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</si>
  <si>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</si>
  <si>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</si>
  <si>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</si>
  <si>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</si>
  <si>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</si>
  <si>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</si>
  <si>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</si>
  <si>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</si>
  <si>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</si>
  <si>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</si>
  <si>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</si>
  <si>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</si>
  <si>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</si>
  <si>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</si>
  <si>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</si>
  <si>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</si>
  <si>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</si>
  <si>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</si>
  <si>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</si>
  <si>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</si>
  <si>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</si>
  <si>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</si>
  <si>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</si>
  <si>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</si>
  <si>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</si>
  <si>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</si>
  <si>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</si>
  <si>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</si>
  <si>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</si>
  <si>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</si>
  <si>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</si>
  <si>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</si>
  <si>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</si>
  <si>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</si>
  <si>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</si>
  <si>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</si>
  <si>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</si>
  <si>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</si>
  <si>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</si>
  <si>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</si>
  <si>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</si>
  <si>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</si>
  <si>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</si>
  <si>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</si>
  <si>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</si>
  <si>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</si>
  <si>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</si>
  <si>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</si>
  <si>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</si>
  <si>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</si>
  <si>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</si>
  <si>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</si>
  <si>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</si>
  <si>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</si>
  <si>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</si>
  <si>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</si>
  <si>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</si>
  <si>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</si>
  <si>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</si>
  <si>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</si>
  <si>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</si>
  <si>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</si>
  <si>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</si>
  <si>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</si>
  <si>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</si>
  <si>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</si>
  <si>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</si>
  <si>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</si>
  <si>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</si>
  <si>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</si>
  <si>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</si>
  <si>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</si>
  <si>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</si>
  <si>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</si>
  <si>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</si>
  <si>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</si>
  <si>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</si>
  <si>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</si>
  <si>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</si>
  <si>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</si>
  <si>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</si>
  <si>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</si>
  <si>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</si>
  <si>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</si>
  <si>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</si>
  <si>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</si>
  <si>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</si>
  <si>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</si>
  <si>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</si>
  <si>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</si>
  <si>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</si>
  <si>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</si>
  <si>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</si>
  <si>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</si>
  <si>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</si>
  <si>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</si>
  <si>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</si>
  <si>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</si>
  <si>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</si>
  <si>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</si>
  <si>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</si>
  <si>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</si>
  <si>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</si>
  <si>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</si>
  <si>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</si>
  <si>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</si>
  <si>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</si>
  <si>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</si>
  <si>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</si>
  <si>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</si>
  <si>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</si>
  <si>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</si>
  <si>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</si>
  <si>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</si>
  <si>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</si>
  <si>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</si>
  <si>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</si>
  <si>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</si>
  <si>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</si>
  <si>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</si>
  <si>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</si>
  <si>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</si>
  <si>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</si>
  <si>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</si>
  <si>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</si>
  <si>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</si>
  <si>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</si>
  <si>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</si>
  <si>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</si>
  <si>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</si>
  <si>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</si>
  <si>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</si>
  <si>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</si>
  <si>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</si>
  <si>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</si>
  <si>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</si>
  <si>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</si>
  <si>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</si>
  <si>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</si>
  <si>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</si>
  <si>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</si>
  <si>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</si>
  <si>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</si>
  <si>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</si>
  <si>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</si>
  <si>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</si>
  <si>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</si>
  <si>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</si>
  <si>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</si>
  <si>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</si>
  <si>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</si>
  <si>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</si>
  <si>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</si>
  <si>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</si>
  <si>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</si>
  <si>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</si>
  <si>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</si>
  <si>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</si>
  <si>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</si>
  <si>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</si>
  <si>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</si>
  <si>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</si>
  <si>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</si>
  <si>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</si>
  <si>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</si>
  <si>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</si>
  <si>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</si>
  <si>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</si>
  <si>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</si>
  <si>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</si>
  <si>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</si>
  <si>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</si>
  <si>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</si>
  <si>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</si>
  <si>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</si>
  <si>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</si>
  <si>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</si>
  <si>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</si>
  <si>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</si>
  <si>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</si>
  <si>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</si>
  <si>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</si>
  <si>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</si>
  <si>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</si>
  <si>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</si>
  <si>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</si>
  <si>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</si>
  <si>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</si>
  <si>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</si>
  <si>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</si>
  <si>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</si>
  <si>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</si>
  <si>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</si>
  <si>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</si>
  <si>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</si>
  <si>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</si>
  <si>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</si>
  <si>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</si>
  <si>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</si>
  <si>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</si>
  <si>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</si>
  <si>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</si>
  <si>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</si>
  <si>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</si>
  <si>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</si>
  <si>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</si>
  <si>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</si>
  <si>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</si>
  <si>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</si>
  <si>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</si>
  <si>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</si>
  <si>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</si>
  <si>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</si>
  <si>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</si>
  <si>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</si>
  <si>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</si>
  <si>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</si>
  <si>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</si>
  <si>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</si>
  <si>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</si>
  <si>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</si>
  <si>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</si>
  <si>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</si>
  <si>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</si>
  <si>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</si>
  <si>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</si>
  <si>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</si>
  <si>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</si>
  <si>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</si>
  <si>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</si>
  <si>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</si>
  <si>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</si>
  <si>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</si>
  <si>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</si>
  <si>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</si>
  <si>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</si>
  <si>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</si>
  <si>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</si>
  <si>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</si>
  <si>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</si>
  <si>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</si>
  <si>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</si>
  <si>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</si>
  <si>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</si>
  <si>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</si>
  <si>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</si>
  <si>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</si>
  <si>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</si>
  <si>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</si>
  <si>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</si>
  <si>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</si>
  <si>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</si>
  <si>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</si>
  <si>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</si>
  <si>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</si>
  <si>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</si>
  <si>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</si>
  <si>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</si>
  <si>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</si>
  <si>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</si>
  <si>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</si>
  <si>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</si>
  <si>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</si>
  <si>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</si>
  <si>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</si>
  <si>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</si>
  <si>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</si>
  <si>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</si>
  <si>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</si>
  <si>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</si>
  <si>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</si>
  <si>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</si>
  <si>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</si>
  <si>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</si>
  <si>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</si>
  <si>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</si>
  <si>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</si>
  <si>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</si>
  <si>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</si>
  <si>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</si>
  <si>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</si>
  <si>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</si>
  <si>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</si>
  <si>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</si>
  <si>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</si>
  <si>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</si>
  <si>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</si>
  <si>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</si>
  <si>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</si>
  <si>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</si>
  <si>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</si>
  <si>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</si>
  <si>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</si>
  <si>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</si>
  <si>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</si>
  <si>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</si>
  <si>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</si>
  <si>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</si>
  <si>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</si>
  <si>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</si>
  <si>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</si>
  <si>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</si>
  <si>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</si>
  <si>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</si>
  <si>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</si>
  <si>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</si>
  <si>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</si>
  <si>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</si>
  <si>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</si>
  <si>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</si>
  <si>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</si>
  <si>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</si>
  <si>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</si>
  <si>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</si>
  <si>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</si>
  <si>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</si>
  <si>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</si>
  <si>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</si>
  <si>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</si>
  <si>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</si>
  <si>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</si>
  <si>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</si>
  <si>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</si>
  <si>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</si>
  <si>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</si>
  <si>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</si>
  <si>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</si>
  <si>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</si>
  <si>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</si>
  <si>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</si>
  <si>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</si>
  <si>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</si>
  <si>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</si>
  <si>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</si>
  <si>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</si>
  <si>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</si>
  <si>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</si>
  <si>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</si>
  <si>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</si>
  <si>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</si>
  <si>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</si>
  <si>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</si>
  <si>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</si>
  <si>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</si>
  <si>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</si>
  <si>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</si>
  <si>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</si>
  <si>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</si>
  <si>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</si>
  <si>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</si>
  <si>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</si>
  <si>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</si>
  <si>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</si>
  <si>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</si>
  <si>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</si>
  <si>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</si>
  <si>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</si>
  <si>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</si>
  <si>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</si>
  <si>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</si>
  <si>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</si>
  <si>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</si>
  <si>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</si>
  <si>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</si>
  <si>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</si>
  <si>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</si>
  <si>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</si>
  <si>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</si>
  <si>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</si>
  <si>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</si>
  <si>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</si>
  <si>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</si>
  <si>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</si>
  <si>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</si>
  <si>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</si>
  <si>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</si>
  <si>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</si>
  <si>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</si>
  <si>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</si>
  <si>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</si>
  <si>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</si>
  <si>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</si>
  <si>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</si>
  <si>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</si>
  <si>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</si>
  <si>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</si>
  <si>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</si>
  <si>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</si>
  <si>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</si>
  <si>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</si>
  <si>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</si>
  <si>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</si>
  <si>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</si>
  <si>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</si>
  <si>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</si>
  <si>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</si>
  <si>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</si>
  <si>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</si>
  <si>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</si>
  <si>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</si>
  <si>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</si>
  <si>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</si>
  <si>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</si>
  <si>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</si>
  <si>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</si>
  <si>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</si>
  <si>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</si>
  <si>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</si>
  <si>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</si>
  <si>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</si>
  <si>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</si>
  <si>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</si>
  <si>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</si>
  <si>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</si>
  <si>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</si>
  <si>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</si>
  <si>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</si>
  <si>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</si>
  <si>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</si>
  <si>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</si>
  <si>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</si>
  <si>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</si>
  <si>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</si>
  <si>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</si>
  <si>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</si>
  <si>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</si>
  <si>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</si>
  <si>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</si>
  <si>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</si>
  <si>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</si>
  <si>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</si>
  <si>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</si>
  <si>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</si>
  <si>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</si>
  <si>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</si>
  <si>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</si>
  <si>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</si>
  <si>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</si>
  <si>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</si>
  <si>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</si>
  <si>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</si>
  <si>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</si>
  <si>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</si>
  <si>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</si>
  <si>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</si>
  <si>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</si>
  <si>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</si>
  <si>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</si>
  <si>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</si>
  <si>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</si>
  <si>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</si>
  <si>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</si>
  <si>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</si>
  <si>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</si>
  <si>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</si>
  <si>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</si>
  <si>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</si>
  <si>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</si>
  <si>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</si>
  <si>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</si>
  <si>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</si>
  <si>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</si>
  <si>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</si>
  <si>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</si>
  <si>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</si>
  <si>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</si>
  <si>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</si>
  <si>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</si>
  <si>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</si>
  <si>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</si>
  <si>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</si>
  <si>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</si>
  <si>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</si>
  <si>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</si>
  <si>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</si>
  <si>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</si>
  <si>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</si>
  <si>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</si>
  <si>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</si>
  <si>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</si>
  <si>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</si>
  <si>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</si>
  <si>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</si>
  <si>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</si>
  <si>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</si>
  <si>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</si>
  <si>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</si>
  <si>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</si>
  <si>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</si>
  <si>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</si>
  <si>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</si>
  <si>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</si>
  <si>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</si>
  <si>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</si>
  <si>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</si>
  <si>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</si>
  <si>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</si>
  <si>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</si>
  <si>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</si>
  <si>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</si>
  <si>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</si>
  <si>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</si>
  <si>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</si>
  <si>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</si>
  <si>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</si>
  <si>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</si>
  <si>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</si>
  <si>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</si>
  <si>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</si>
  <si>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</si>
  <si>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</si>
  <si>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</si>
  <si>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</si>
  <si>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</si>
  <si>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</si>
  <si>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</si>
  <si>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</si>
  <si>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</si>
  <si>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</si>
  <si>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</si>
  <si>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</si>
  <si>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</si>
  <si>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</si>
  <si>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</si>
  <si>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</si>
  <si>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</si>
  <si>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</si>
  <si>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</si>
  <si>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</si>
  <si>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</si>
  <si>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</si>
  <si>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</si>
  <si>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</si>
  <si>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</si>
  <si>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</si>
  <si>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</si>
  <si>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</si>
  <si>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</si>
  <si>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</si>
  <si>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</si>
  <si>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</si>
  <si>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</si>
  <si>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</si>
  <si>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</si>
  <si>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</si>
  <si>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</si>
  <si>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</si>
  <si>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</si>
  <si>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</si>
  <si>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</si>
  <si>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</si>
  <si>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</si>
  <si>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</si>
  <si>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</si>
  <si>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</si>
  <si>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</si>
  <si>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</si>
  <si>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</si>
  <si>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</si>
  <si>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</si>
  <si>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</si>
  <si>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</si>
  <si>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</si>
  <si>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</si>
  <si>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</si>
  <si>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</si>
  <si>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</si>
  <si>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</si>
  <si>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</si>
  <si>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</si>
  <si>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</si>
  <si>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</si>
  <si>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</si>
  <si>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</si>
  <si>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</si>
  <si>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</si>
  <si>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</si>
  <si>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</si>
  <si>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</si>
  <si>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</si>
  <si>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</si>
  <si>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</si>
  <si>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</si>
  <si>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</si>
  <si>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</si>
  <si>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</si>
  <si>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</si>
  <si>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</si>
  <si>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</si>
  <si>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</si>
  <si>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</si>
  <si>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</si>
  <si>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</si>
  <si>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</si>
  <si>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</si>
  <si>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</si>
  <si>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</si>
  <si>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</si>
  <si>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</si>
  <si>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</si>
  <si>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</si>
  <si>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</si>
  <si>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</si>
  <si>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</si>
  <si>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</si>
  <si>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</si>
  <si>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</si>
  <si>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</si>
  <si>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</si>
  <si>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</si>
  <si>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</si>
  <si>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</si>
  <si>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</si>
  <si>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</si>
  <si>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</si>
  <si>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</si>
  <si>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</si>
  <si>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</si>
  <si>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</si>
  <si>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</si>
  <si>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</si>
  <si>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</si>
  <si>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</si>
  <si>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</si>
  <si>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</si>
  <si>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</si>
  <si>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</si>
  <si>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</si>
  <si>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</si>
  <si>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</si>
  <si>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</si>
  <si>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</si>
  <si>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</si>
  <si>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</si>
  <si>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</si>
  <si>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</si>
  <si>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</si>
  <si>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</si>
  <si>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</si>
  <si>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</si>
  <si>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</si>
  <si>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</si>
  <si>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</si>
  <si>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</si>
  <si>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</si>
  <si>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</si>
  <si>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</si>
  <si>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</si>
  <si>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</si>
  <si>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</si>
  <si>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</si>
  <si>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</si>
  <si>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</si>
  <si>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</si>
  <si>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</si>
  <si>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</si>
  <si>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</si>
  <si>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</si>
  <si>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</si>
  <si>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</si>
  <si>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</si>
  <si>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</si>
  <si>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</si>
  <si>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</si>
  <si>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</si>
  <si>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</si>
  <si>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</si>
  <si>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</si>
  <si>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</si>
  <si>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</si>
  <si>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</si>
  <si>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</si>
  <si>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</si>
  <si>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</si>
  <si>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</si>
  <si>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</si>
  <si>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</si>
  <si>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</si>
  <si>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</si>
  <si>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</si>
  <si>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</si>
  <si>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</si>
  <si>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</si>
  <si>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</si>
  <si>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</si>
  <si>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</si>
  <si>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</si>
  <si>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</si>
  <si>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</si>
  <si>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</si>
  <si>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</si>
  <si>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</si>
  <si>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</si>
  <si>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</si>
  <si>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</si>
  <si>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</si>
  <si>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</si>
  <si>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</si>
  <si>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</si>
  <si>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</si>
  <si>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</si>
  <si>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</si>
  <si>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</si>
  <si>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</si>
  <si>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</si>
  <si>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</si>
  <si>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</si>
  <si>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</si>
  <si>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</si>
  <si>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</si>
  <si>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</si>
  <si>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</si>
  <si>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</si>
  <si>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</si>
  <si>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</si>
  <si>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</si>
  <si>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</si>
  <si>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</si>
  <si>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</si>
  <si>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</si>
  <si>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</si>
  <si>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</si>
  <si>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</si>
  <si>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</si>
  <si>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</si>
  <si>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</si>
  <si>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</si>
  <si>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</si>
  <si>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</si>
  <si>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</si>
  <si>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</si>
  <si>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</si>
  <si>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</si>
  <si>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</si>
  <si>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</si>
  <si>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</si>
  <si>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</si>
  <si>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</si>
  <si>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</si>
  <si>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</si>
  <si>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</si>
  <si>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</si>
  <si>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</si>
  <si>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</si>
  <si>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</si>
  <si>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</si>
  <si>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</si>
  <si>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</si>
  <si>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</si>
  <si>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</si>
  <si>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</si>
  <si>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</si>
  <si>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</si>
  <si>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</si>
  <si>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</si>
  <si>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</si>
  <si>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</si>
  <si>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</si>
  <si>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</si>
  <si>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</si>
  <si>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</si>
  <si>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</si>
  <si>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</si>
  <si>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</si>
  <si>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</si>
  <si>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</si>
  <si>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</si>
  <si>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</si>
  <si>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</si>
  <si>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</si>
  <si>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</si>
  <si>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</si>
  <si>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</si>
  <si>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</si>
  <si>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</si>
  <si>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</si>
  <si>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</si>
  <si>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</si>
  <si>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</si>
  <si>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</si>
  <si>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</si>
  <si>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</si>
  <si>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</si>
  <si>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</si>
  <si>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</si>
  <si>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</si>
  <si>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</si>
  <si>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</si>
  <si>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</si>
  <si>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</si>
  <si>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</si>
  <si>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</si>
  <si>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</si>
  <si>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</si>
  <si>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</si>
  <si>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</si>
  <si>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</si>
  <si>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</si>
  <si>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</si>
  <si>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</si>
  <si>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</si>
  <si>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</si>
  <si>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</si>
  <si>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</si>
  <si>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</si>
  <si>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</si>
  <si>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</si>
  <si>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</si>
  <si>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</si>
  <si>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</si>
  <si>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</si>
  <si>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</si>
  <si>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</si>
  <si>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</si>
  <si>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</si>
  <si>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</si>
  <si>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</si>
  <si>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</si>
  <si>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</si>
  <si>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</si>
  <si>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</si>
  <si>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</si>
  <si>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</si>
  <si>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</si>
  <si>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</si>
  <si>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</si>
  <si>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</si>
  <si>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</si>
  <si>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</si>
  <si>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</si>
  <si>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</si>
  <si>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</si>
  <si>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</si>
  <si>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</si>
  <si>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</si>
  <si>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</si>
  <si>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</si>
  <si>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</si>
  <si>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</si>
  <si>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</si>
  <si>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</si>
  <si>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</si>
  <si>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</si>
  <si>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</si>
  <si>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</si>
  <si>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</si>
  <si>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</si>
  <si>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</si>
  <si>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</si>
  <si>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</si>
  <si>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</si>
  <si>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</si>
  <si>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</si>
  <si>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</si>
  <si>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</si>
  <si>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</si>
  <si>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</si>
  <si>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</si>
  <si>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</si>
  <si>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</si>
  <si>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</si>
  <si>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</si>
  <si>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</si>
  <si>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</si>
  <si>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</si>
  <si>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</si>
  <si>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</si>
  <si>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</si>
  <si>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</si>
  <si>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</si>
  <si>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</si>
  <si>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</si>
  <si>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</si>
  <si>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</si>
  <si>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</si>
  <si>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</si>
  <si>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</si>
  <si>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</si>
  <si>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</si>
  <si>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</si>
  <si>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</si>
  <si>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</si>
  <si>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</si>
  <si>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</si>
  <si>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</si>
  <si>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</si>
  <si>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</si>
  <si>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</si>
  <si>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</si>
  <si>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</si>
  <si>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</si>
  <si>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</si>
  <si>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</si>
  <si>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</si>
  <si>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</si>
  <si>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</si>
  <si>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</si>
  <si>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</si>
  <si>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</si>
  <si>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</si>
  <si>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</si>
  <si>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</si>
  <si>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</si>
  <si>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</si>
  <si>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</si>
  <si>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</si>
  <si>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</si>
  <si>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</si>
  <si>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</si>
  <si>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</si>
  <si>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</si>
  <si>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</si>
  <si>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</si>
  <si>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</si>
  <si>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</si>
  <si>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</si>
  <si>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</si>
  <si>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</si>
  <si>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</si>
  <si>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</si>
  <si>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</si>
  <si>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</si>
  <si>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</si>
  <si>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</si>
  <si>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</si>
  <si>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</si>
  <si>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</si>
  <si>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</si>
  <si>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</si>
  <si>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</si>
  <si>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</si>
  <si>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</si>
  <si>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</si>
  <si>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</si>
  <si>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</si>
  <si>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</si>
  <si>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</si>
  <si>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</si>
  <si>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</si>
  <si>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</si>
  <si>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</si>
  <si>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</si>
  <si>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</si>
  <si>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</si>
  <si>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</si>
  <si>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</si>
  <si>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</si>
  <si>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</si>
  <si>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</si>
  <si>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</si>
  <si>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</si>
  <si>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</si>
  <si>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</si>
  <si>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</si>
  <si>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</si>
  <si>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</si>
  <si>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</si>
  <si>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</si>
  <si>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</si>
  <si>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</si>
  <si>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</si>
  <si>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</si>
  <si>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</si>
  <si>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</si>
  <si>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</si>
  <si>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</si>
  <si>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</si>
  <si>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</si>
  <si>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</si>
  <si>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</si>
  <si>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</si>
  <si>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</si>
  <si>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</si>
  <si>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</si>
  <si>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</si>
  <si>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</si>
  <si>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</si>
  <si>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</si>
  <si>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</si>
  <si>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</si>
  <si>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</si>
  <si>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</si>
  <si>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</si>
  <si>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</si>
  <si>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</si>
  <si>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</si>
  <si>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</si>
  <si>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</si>
  <si>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</si>
  <si>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</si>
  <si>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</si>
  <si>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</si>
  <si>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</si>
  <si>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</si>
  <si>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</si>
  <si>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</si>
  <si>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</si>
  <si>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</si>
  <si>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</si>
  <si>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</si>
  <si>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</si>
  <si>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</si>
  <si>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</si>
  <si>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</si>
  <si>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</si>
  <si>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</si>
  <si>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</si>
  <si>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</si>
  <si>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</si>
  <si>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</si>
  <si>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</si>
  <si>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</si>
  <si>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</si>
  <si>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</si>
  <si>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</si>
  <si>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</si>
  <si>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</si>
  <si>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</si>
  <si>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</si>
  <si>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</si>
  <si>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</si>
  <si>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</si>
  <si>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</si>
  <si>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</si>
  <si>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</si>
  <si>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</si>
  <si>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</si>
  <si>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</si>
  <si>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</si>
  <si>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</si>
  <si>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</si>
  <si>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</si>
  <si>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</si>
  <si>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</si>
  <si>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</si>
  <si>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</si>
  <si>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</si>
  <si>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</si>
  <si>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</si>
  <si>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</si>
  <si>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</si>
  <si>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</si>
  <si>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</si>
  <si>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</si>
  <si>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</si>
  <si>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</si>
  <si>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</si>
  <si>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</si>
  <si>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</si>
  <si>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</si>
  <si>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</si>
  <si>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</si>
  <si>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</si>
  <si>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</si>
  <si>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</si>
  <si>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</si>
  <si>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</si>
  <si>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</si>
  <si>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</si>
  <si>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</si>
  <si>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</si>
  <si>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</si>
  <si>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</si>
  <si>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</si>
  <si>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</si>
  <si>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</si>
  <si>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</si>
  <si>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</si>
  <si>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</si>
  <si>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</si>
  <si>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</si>
  <si>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</si>
  <si>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</si>
  <si>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</si>
  <si>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</si>
  <si>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</si>
  <si>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</si>
  <si>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</si>
  <si>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</si>
  <si>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</si>
  <si>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</si>
  <si>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</si>
  <si>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</si>
  <si>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</si>
  <si>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</si>
  <si>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</si>
  <si>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</si>
  <si>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</si>
  <si>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</si>
  <si>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</si>
  <si>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</si>
  <si>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</si>
  <si>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</si>
  <si>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</si>
  <si>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</si>
  <si>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</si>
  <si>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</si>
  <si>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</si>
  <si>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</si>
  <si>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</si>
  <si>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</si>
  <si>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</si>
  <si>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</si>
  <si>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</si>
  <si>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</si>
  <si>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</si>
  <si>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</si>
  <si>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</si>
  <si>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</si>
  <si>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</si>
  <si>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</si>
  <si>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</si>
  <si>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</si>
  <si>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</si>
  <si>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</si>
  <si>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</si>
  <si>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</si>
  <si>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</si>
  <si>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</si>
  <si>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</si>
  <si>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</si>
  <si>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</si>
  <si>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</si>
  <si>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</si>
  <si>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</si>
  <si>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</si>
  <si>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</si>
  <si>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</si>
  <si>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</si>
  <si>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</si>
  <si>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</si>
  <si>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</si>
  <si>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</si>
  <si>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</si>
  <si>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</si>
  <si>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</si>
  <si>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</si>
  <si>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</si>
  <si>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</si>
  <si>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</si>
  <si>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</si>
  <si>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</si>
  <si>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</si>
  <si>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</si>
  <si>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</si>
  <si>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</si>
  <si>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</si>
  <si>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</si>
  <si>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</si>
  <si>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</si>
  <si>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</si>
  <si>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</si>
  <si>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</si>
  <si>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</si>
  <si>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</si>
  <si>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</si>
  <si>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</si>
  <si>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</si>
  <si>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</si>
  <si>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</si>
  <si>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</si>
  <si>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</si>
  <si>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</si>
  <si>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</si>
  <si>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</si>
  <si>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</si>
  <si>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</si>
  <si>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</si>
  <si>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</si>
  <si>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</si>
  <si>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</si>
  <si>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</si>
  <si>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</si>
  <si>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</si>
  <si>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</si>
  <si>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</si>
  <si>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</si>
  <si>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</si>
  <si>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</si>
  <si>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</si>
  <si>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</si>
  <si>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</si>
  <si>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</si>
  <si>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</si>
  <si>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</si>
  <si>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</si>
  <si>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</si>
  <si>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</si>
  <si>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</si>
  <si>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</si>
  <si>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</si>
  <si>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</si>
  <si>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</si>
  <si>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</si>
  <si>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</si>
  <si>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</si>
  <si>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</si>
  <si>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</si>
  <si>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</si>
  <si>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</si>
  <si>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</si>
  <si>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</si>
  <si>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</si>
  <si>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</si>
  <si>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</si>
  <si>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</si>
  <si>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</si>
  <si>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</si>
  <si>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</si>
  <si>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</si>
  <si>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</si>
  <si>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</si>
  <si>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</si>
  <si>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</si>
  <si>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</si>
  <si>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</si>
  <si>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</si>
  <si>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</si>
  <si>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</si>
  <si>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</si>
  <si>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</si>
  <si>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</si>
  <si>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</si>
  <si>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</si>
  <si>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</si>
  <si>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</si>
  <si>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</si>
  <si>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</si>
  <si>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</si>
  <si>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</si>
  <si>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</si>
  <si>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</si>
  <si>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</si>
  <si>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</si>
  <si>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</si>
  <si>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</si>
  <si>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</si>
  <si>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</si>
  <si>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</si>
  <si>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</si>
  <si>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</si>
  <si>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</si>
  <si>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</si>
  <si>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</si>
  <si>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</si>
  <si>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</si>
  <si>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</si>
  <si>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</si>
  <si>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</si>
  <si>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</si>
  <si>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</si>
  <si>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</si>
  <si>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</si>
  <si>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</si>
  <si>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</si>
  <si>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</si>
  <si>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</si>
  <si>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</si>
  <si>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</si>
  <si>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</si>
  <si>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</si>
  <si>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</si>
  <si>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</si>
  <si>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</si>
  <si>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</si>
  <si>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</si>
  <si>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</si>
  <si>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</si>
  <si>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</si>
  <si>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</si>
  <si>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</si>
  <si>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</si>
  <si>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</si>
  <si>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</si>
  <si>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</si>
  <si>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</si>
  <si>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</si>
  <si>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</si>
  <si>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</si>
  <si>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</si>
  <si>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</si>
  <si>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</si>
  <si>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</si>
  <si>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</si>
  <si>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</si>
  <si>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</si>
  <si>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</si>
  <si>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</si>
  <si>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</si>
  <si>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</si>
  <si>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</si>
  <si>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</si>
  <si>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</si>
  <si>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</si>
  <si>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</si>
  <si>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</si>
  <si>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</si>
  <si>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</si>
  <si>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</si>
  <si>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</si>
  <si>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</si>
  <si>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</si>
  <si>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</si>
  <si>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</si>
  <si>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</si>
  <si>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</si>
  <si>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</si>
  <si>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</si>
  <si>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</si>
  <si>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</si>
  <si>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</si>
  <si>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</si>
  <si>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</si>
  <si>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</si>
  <si>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</si>
  <si>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</si>
  <si>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</si>
  <si>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</si>
  <si>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</si>
  <si>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</si>
  <si>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</si>
  <si>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</si>
  <si>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</si>
  <si>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</si>
  <si>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</si>
  <si>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</si>
  <si>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</si>
  <si>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</si>
  <si>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</si>
  <si>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</si>
  <si>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</si>
  <si>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</si>
  <si>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</si>
  <si>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</si>
  <si>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</si>
  <si>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</si>
  <si>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</si>
  <si>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</si>
  <si>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</si>
  <si>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</si>
  <si>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</si>
  <si>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</si>
  <si>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</si>
  <si>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</si>
  <si>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</si>
  <si>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</si>
  <si>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</si>
  <si>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</si>
  <si>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</si>
  <si>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</si>
  <si>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</si>
  <si>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</si>
  <si>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</si>
  <si>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</si>
  <si>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</si>
  <si>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</si>
  <si>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</si>
  <si>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</si>
  <si>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</si>
  <si>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</si>
  <si>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</si>
  <si>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</si>
  <si>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</si>
  <si>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</si>
  <si>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</si>
  <si>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</si>
  <si>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</si>
  <si>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</si>
  <si>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</si>
  <si>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</si>
  <si>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</si>
  <si>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</si>
  <si>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</si>
  <si>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</si>
  <si>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</si>
  <si>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</si>
  <si>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</si>
  <si>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</si>
  <si>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</si>
  <si>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</si>
  <si>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</si>
  <si>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</si>
  <si>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</si>
  <si>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</si>
  <si>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</si>
  <si>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</si>
  <si>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</si>
  <si>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</si>
  <si>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</si>
  <si>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</si>
  <si>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</si>
  <si>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</si>
  <si>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</si>
  <si>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</si>
  <si>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</si>
  <si>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</si>
  <si>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</si>
  <si>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</si>
  <si>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</si>
  <si>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</si>
  <si>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</si>
  <si>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</si>
  <si>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</si>
  <si>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</si>
  <si>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</si>
  <si>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</si>
  <si>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</si>
  <si>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</si>
  <si>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</si>
  <si>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</si>
  <si>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</si>
  <si>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</si>
  <si>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</si>
  <si>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</si>
  <si>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</si>
  <si>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</si>
  <si>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</si>
  <si>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</si>
  <si>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</si>
  <si>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</si>
  <si>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</si>
  <si>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</si>
  <si>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</si>
  <si>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</si>
  <si>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</si>
  <si>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</si>
  <si>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</si>
  <si>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</si>
  <si>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</si>
  <si>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</si>
  <si>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</si>
  <si>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</si>
  <si>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</si>
  <si>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</si>
  <si>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</si>
  <si>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</si>
  <si>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</si>
  <si>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</si>
  <si>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</si>
  <si>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</si>
  <si>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</si>
  <si>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</si>
  <si>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</si>
  <si>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</si>
  <si>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</si>
  <si>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</si>
  <si>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</si>
  <si>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</si>
  <si>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</si>
  <si>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</si>
  <si>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</si>
  <si>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</si>
  <si>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</si>
  <si>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</si>
  <si>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</si>
  <si>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</si>
  <si>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</si>
  <si>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</si>
  <si>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</si>
  <si>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</si>
  <si>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</si>
  <si>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</si>
  <si>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</si>
  <si>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</si>
  <si>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</si>
  <si>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</si>
  <si>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</si>
  <si>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</si>
  <si>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</si>
  <si>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</si>
  <si>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</si>
  <si>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</si>
  <si>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</si>
  <si>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</si>
  <si>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</si>
  <si>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</si>
  <si>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</si>
  <si>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</si>
  <si>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</si>
  <si>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</si>
  <si>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</si>
  <si>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</si>
  <si>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</si>
  <si>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</si>
  <si>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</si>
  <si>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</si>
  <si>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</si>
  <si>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</si>
  <si>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</si>
  <si>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</si>
  <si>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</si>
  <si>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</si>
  <si>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</si>
  <si>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</si>
  <si>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</si>
  <si>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</si>
  <si>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</si>
  <si>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</si>
  <si>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</si>
  <si>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</si>
  <si>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</si>
  <si>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</si>
  <si>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</si>
  <si>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</si>
  <si>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</si>
  <si>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</si>
  <si>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</si>
  <si>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</si>
  <si>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</si>
  <si>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</si>
  <si>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</si>
  <si>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</si>
  <si>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</si>
  <si>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</si>
  <si>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</si>
  <si>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</si>
  <si>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</si>
  <si>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</si>
  <si>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</si>
  <si>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</si>
  <si>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</si>
  <si>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</si>
  <si>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</si>
  <si>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</si>
  <si>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</si>
  <si>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</si>
  <si>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</si>
  <si>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</si>
  <si>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</si>
  <si>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</si>
  <si>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</si>
  <si>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</si>
  <si>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</si>
  <si>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</si>
  <si>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</si>
  <si>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</si>
  <si>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</si>
  <si>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</si>
  <si>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</si>
  <si>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</si>
  <si>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</si>
  <si>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</si>
  <si>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</si>
  <si>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</si>
  <si>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</si>
  <si>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</si>
  <si>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</si>
  <si>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</si>
  <si>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</si>
  <si>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</si>
  <si>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</si>
  <si>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</si>
  <si>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</si>
  <si>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</si>
  <si>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</si>
  <si>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</si>
  <si>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</si>
  <si>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</si>
  <si>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</si>
  <si>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</si>
  <si>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</si>
  <si>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</si>
  <si>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</si>
  <si>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</si>
  <si>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</si>
  <si>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</si>
  <si>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</si>
  <si>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</si>
  <si>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</si>
  <si>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</si>
  <si>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</si>
  <si>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</si>
  <si>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</si>
  <si>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</si>
  <si>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</si>
  <si>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</si>
  <si>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</si>
  <si>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</si>
  <si>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</si>
  <si>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</si>
  <si>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</si>
  <si>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</si>
  <si>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</si>
  <si>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</si>
  <si>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</si>
  <si>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</si>
  <si>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</si>
  <si>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</si>
  <si>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</si>
  <si>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</si>
  <si>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</si>
  <si>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</si>
  <si>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</si>
  <si>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</si>
  <si>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</si>
  <si>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</si>
  <si>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</si>
  <si>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</si>
  <si>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</si>
  <si>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</si>
  <si>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</si>
  <si>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</si>
  <si>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</si>
  <si>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</si>
  <si>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</si>
  <si>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</si>
  <si>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</si>
  <si>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</si>
  <si>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</si>
  <si>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</si>
  <si>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</si>
  <si>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</si>
  <si>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</si>
  <si>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</si>
  <si>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</si>
  <si>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</si>
  <si>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</si>
  <si>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</si>
  <si>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</si>
  <si>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</si>
  <si>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</si>
  <si>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</si>
  <si>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</si>
  <si>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</si>
  <si>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</si>
  <si>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</si>
  <si>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</si>
  <si>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</si>
  <si>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</si>
  <si>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</si>
  <si>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</si>
  <si>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</si>
  <si>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</si>
  <si>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</si>
  <si>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</si>
  <si>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</si>
  <si>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</si>
  <si>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</si>
  <si>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</si>
  <si>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</si>
  <si>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</si>
  <si>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</si>
  <si>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</si>
  <si>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</si>
  <si>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</si>
  <si>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</si>
  <si>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</si>
  <si>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</si>
  <si>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</si>
  <si>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</si>
  <si>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</si>
  <si>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</si>
  <si>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</si>
  <si>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</si>
  <si>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</si>
  <si>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</si>
  <si>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</si>
  <si>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</si>
  <si>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</si>
  <si>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</si>
  <si>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</si>
  <si>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</si>
  <si>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</si>
  <si>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</si>
  <si>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</si>
  <si>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</si>
  <si>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</si>
  <si>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</si>
  <si>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</si>
  <si>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</si>
  <si>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</si>
  <si>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</si>
  <si>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</si>
  <si>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</si>
  <si>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</si>
  <si>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</si>
  <si>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</si>
  <si>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</si>
  <si>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</si>
  <si>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</si>
  <si>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</si>
  <si>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</si>
  <si>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</si>
  <si>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</si>
  <si>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</si>
  <si>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</si>
  <si>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</si>
  <si>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</si>
  <si>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</si>
  <si>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</si>
  <si>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</si>
  <si>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</si>
  <si>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</si>
  <si>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</si>
  <si>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</si>
  <si>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</si>
  <si>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</si>
  <si>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</si>
  <si>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</si>
  <si>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</si>
  <si>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</si>
  <si>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</si>
  <si>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</si>
  <si>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</si>
  <si>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</si>
  <si>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</si>
  <si>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</si>
  <si>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</si>
  <si>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</si>
  <si>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</si>
  <si>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</si>
  <si>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</si>
  <si>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</si>
  <si>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</si>
  <si>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</si>
  <si>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</si>
  <si>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</si>
  <si>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</si>
  <si>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</si>
  <si>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</si>
  <si>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</si>
  <si>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</si>
  <si>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</si>
  <si>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</si>
  <si>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</si>
  <si>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</si>
  <si>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</si>
  <si>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</si>
  <si>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</si>
  <si>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</si>
  <si>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</si>
  <si>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</si>
  <si>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</si>
  <si>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</si>
  <si>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</si>
  <si>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</si>
  <si>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</si>
  <si>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</si>
  <si>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</si>
  <si>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</si>
  <si>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</si>
  <si>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</si>
  <si>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</si>
  <si>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</si>
  <si>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</si>
  <si>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</si>
  <si>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</si>
  <si>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</si>
  <si>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</si>
  <si>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</si>
  <si>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</si>
  <si>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</si>
  <si>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</si>
  <si>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</si>
  <si>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</si>
  <si>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</si>
  <si>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</si>
  <si>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</si>
  <si>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</si>
  <si>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</si>
  <si>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</si>
  <si>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</si>
  <si>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</si>
  <si>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</si>
  <si>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</si>
  <si>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</si>
  <si>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</si>
  <si>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</si>
  <si>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</si>
  <si>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</si>
  <si>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</si>
  <si>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</si>
  <si>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</si>
  <si>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</si>
  <si>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</si>
  <si>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</si>
  <si>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</si>
  <si>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</si>
  <si>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</si>
  <si>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</si>
  <si>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</si>
  <si>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</si>
  <si>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</si>
  <si>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</si>
  <si>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</si>
  <si>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</si>
  <si>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</si>
  <si>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</si>
  <si>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</si>
  <si>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</si>
  <si>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</si>
  <si>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</si>
  <si>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</si>
  <si>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</si>
  <si>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</si>
  <si>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</si>
  <si>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</si>
  <si>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</si>
  <si>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</si>
  <si>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</si>
  <si>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</si>
  <si>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</si>
  <si>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</si>
  <si>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</si>
  <si>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</si>
  <si>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</si>
  <si>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</si>
  <si>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</si>
  <si>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</si>
  <si>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</si>
  <si>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</si>
  <si>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</si>
  <si>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</si>
  <si>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</si>
  <si>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</si>
  <si>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</si>
  <si>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</si>
  <si>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</si>
  <si>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</si>
  <si>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</si>
  <si>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</si>
  <si>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</si>
  <si>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</si>
  <si>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</si>
  <si>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</si>
  <si>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</si>
  <si>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</si>
  <si>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</si>
  <si>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</si>
  <si>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</si>
  <si>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</si>
  <si>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</si>
  <si>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</si>
  <si>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</si>
  <si>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</si>
  <si>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</si>
  <si>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</si>
  <si>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</si>
  <si>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</si>
  <si>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</si>
  <si>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</si>
  <si>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</si>
  <si>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</si>
  <si>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</si>
  <si>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</si>
  <si>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</si>
  <si>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</si>
  <si>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</si>
  <si>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</si>
  <si>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</si>
  <si>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</si>
  <si>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</si>
  <si>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</si>
  <si>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</si>
  <si>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</si>
  <si>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</si>
  <si>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</si>
  <si>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</si>
  <si>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</si>
  <si>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</si>
  <si>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</si>
  <si>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</si>
  <si>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</si>
  <si>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</si>
  <si>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</si>
  <si>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</si>
  <si>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</si>
  <si>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</si>
  <si>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</si>
  <si>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</si>
  <si>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</si>
  <si>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</si>
  <si>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</si>
  <si>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</si>
  <si>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</si>
  <si>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</si>
  <si>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</si>
  <si>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</si>
  <si>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</si>
  <si>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</si>
  <si>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</si>
  <si>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</si>
  <si>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</si>
  <si>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</si>
  <si>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</si>
  <si>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</si>
  <si>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</si>
  <si>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</si>
  <si>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</si>
  <si>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</si>
  <si>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</si>
  <si>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</si>
  <si>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</si>
  <si>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</si>
  <si>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</si>
  <si>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</si>
  <si>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</si>
  <si>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</si>
  <si>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</si>
  <si>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</si>
  <si>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</si>
  <si>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</si>
  <si>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</si>
  <si>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</si>
  <si>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</si>
  <si>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</si>
  <si>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</si>
  <si>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</si>
  <si>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</si>
  <si>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</si>
  <si>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</si>
  <si>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</si>
  <si>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</si>
  <si>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</si>
  <si>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</si>
  <si>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</si>
  <si>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</si>
  <si>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</si>
  <si>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</si>
  <si>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</si>
  <si>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</si>
  <si>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</si>
  <si>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</si>
  <si>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</si>
  <si>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</si>
  <si>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</si>
  <si>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</si>
  <si>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</si>
  <si>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</si>
  <si>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</si>
  <si>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</si>
  <si>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</si>
  <si>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</si>
  <si>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</si>
  <si>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</si>
  <si>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</si>
  <si>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</si>
  <si>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</si>
  <si>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</si>
  <si>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</si>
  <si>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</si>
  <si>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</si>
  <si>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</si>
  <si>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</si>
  <si>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</si>
  <si>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</si>
  <si>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</si>
  <si>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</si>
  <si>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</si>
  <si>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</si>
  <si>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</si>
  <si>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</si>
  <si>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</si>
  <si>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</si>
  <si>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</si>
  <si>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</si>
  <si>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</si>
  <si>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</si>
  <si>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</si>
  <si>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</si>
  <si>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</si>
  <si>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</si>
  <si>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</si>
  <si>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</si>
  <si>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</si>
  <si>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</si>
  <si>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</si>
  <si>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</si>
  <si>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</si>
  <si>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</si>
  <si>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</si>
  <si>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</si>
  <si>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</si>
  <si>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</si>
  <si>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</si>
  <si>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</si>
  <si>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</si>
  <si>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</si>
  <si>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</si>
  <si>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</si>
  <si>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</si>
  <si>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</si>
  <si>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</si>
  <si>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</si>
  <si>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</si>
  <si>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</si>
  <si>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</si>
  <si>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</si>
  <si>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</si>
  <si>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</si>
  <si>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</si>
  <si>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</si>
  <si>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</si>
  <si>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</si>
  <si>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</si>
  <si>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</si>
  <si>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</si>
  <si>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</si>
  <si>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</si>
  <si>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</si>
  <si>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</si>
  <si>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</si>
  <si>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</si>
  <si>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</si>
  <si>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</si>
  <si>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</si>
  <si>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</si>
  <si>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</si>
  <si>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</si>
  <si>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</si>
  <si>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</si>
  <si>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</si>
  <si>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</si>
  <si>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</si>
  <si>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</si>
  <si>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</si>
  <si>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</si>
  <si>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</si>
  <si>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</si>
  <si>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</si>
  <si>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</si>
  <si>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</si>
  <si>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</si>
  <si>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</si>
  <si>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</si>
  <si>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</si>
  <si>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</si>
  <si>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</si>
  <si>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</si>
  <si>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</si>
  <si>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</si>
  <si>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</si>
  <si>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</si>
  <si>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</si>
  <si>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</si>
  <si>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</si>
  <si>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</si>
  <si>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</si>
  <si>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</si>
  <si>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</si>
  <si>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</si>
  <si>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</si>
  <si>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</si>
  <si>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</si>
  <si>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</si>
  <si>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</si>
  <si>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</si>
  <si>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</si>
  <si>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</si>
  <si>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</si>
  <si>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</si>
  <si>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</si>
  <si>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</si>
  <si>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</si>
  <si>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</si>
  <si>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</si>
  <si>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</si>
  <si>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</si>
  <si>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</si>
  <si>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</si>
  <si>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</si>
  <si>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</si>
  <si>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</si>
  <si>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</si>
  <si>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</si>
  <si>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</si>
  <si>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</si>
  <si>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</si>
  <si>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</si>
  <si>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</si>
  <si>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</si>
  <si>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</si>
  <si>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</si>
  <si>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</si>
  <si>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</si>
  <si>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</si>
  <si>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</si>
  <si>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</si>
  <si>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</si>
  <si>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</si>
  <si>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</si>
  <si>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</si>
  <si>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</si>
  <si>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</si>
  <si>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</si>
  <si>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</si>
  <si>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</si>
  <si>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</si>
  <si>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</si>
  <si>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</si>
  <si>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</si>
  <si>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</si>
  <si>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</si>
  <si>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</si>
  <si>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</si>
  <si>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</si>
  <si>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</si>
  <si>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</si>
  <si>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</si>
  <si>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</si>
  <si>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</si>
  <si>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</si>
  <si>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</si>
  <si>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</si>
  <si>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</si>
  <si>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</si>
  <si>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</si>
  <si>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</si>
  <si>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</si>
  <si>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</si>
  <si>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</si>
  <si>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</si>
  <si>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</si>
  <si>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</si>
  <si>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</si>
  <si>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</si>
  <si>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</si>
  <si>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</si>
  <si>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</si>
  <si>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</si>
  <si>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</si>
  <si>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</si>
  <si>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</si>
  <si>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</si>
  <si>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</si>
  <si>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</si>
  <si>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</si>
  <si>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</si>
  <si>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</si>
  <si>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</si>
  <si>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</si>
  <si>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</si>
  <si>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</si>
  <si>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</si>
  <si>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</si>
  <si>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</si>
  <si>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</si>
  <si>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</si>
  <si>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</si>
  <si>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</si>
  <si>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</si>
  <si>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</si>
  <si>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</si>
  <si>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</si>
  <si>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</si>
  <si>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</si>
  <si>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</si>
  <si>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</si>
  <si>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</si>
  <si>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</si>
  <si>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</si>
  <si>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</si>
  <si>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</si>
  <si>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</si>
  <si>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</si>
  <si>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</si>
  <si>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</si>
  <si>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</si>
  <si>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</si>
  <si>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</si>
  <si>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</si>
  <si>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</si>
  <si>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</si>
  <si>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</si>
  <si>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</si>
  <si>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</si>
  <si>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</si>
  <si>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</si>
  <si>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</si>
  <si>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</si>
  <si>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</si>
  <si>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</si>
  <si>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</si>
  <si>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</si>
  <si>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</si>
  <si>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</si>
  <si>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</si>
  <si>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</si>
  <si>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</si>
  <si>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</si>
  <si>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</si>
  <si>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</si>
  <si>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</si>
  <si>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</si>
  <si>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</si>
  <si>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</si>
  <si>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</si>
  <si>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</si>
  <si>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</si>
  <si>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</si>
  <si>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</si>
  <si>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</si>
  <si>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</si>
  <si>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</si>
  <si>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</si>
  <si>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</si>
  <si>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</si>
  <si>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</si>
  <si>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</si>
  <si>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</si>
  <si>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</si>
  <si>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</si>
  <si>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</si>
  <si>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</si>
  <si>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</si>
  <si>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</si>
  <si>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</si>
  <si>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</si>
  <si>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</si>
  <si>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</si>
  <si>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</si>
  <si>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</si>
  <si>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</si>
  <si>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</si>
  <si>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</si>
  <si>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</si>
  <si>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</si>
  <si>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</si>
  <si>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</si>
  <si>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</si>
  <si>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</si>
  <si>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</si>
  <si>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</si>
  <si>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</si>
  <si>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</si>
  <si>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</si>
  <si>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</si>
  <si>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</si>
  <si>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</si>
  <si>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</si>
  <si>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</si>
  <si>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</si>
  <si>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</si>
  <si>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</si>
  <si>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</si>
  <si>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</si>
  <si>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</si>
  <si>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</si>
  <si>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</si>
  <si>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</si>
  <si>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</si>
  <si>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</si>
  <si>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</si>
  <si>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</si>
  <si>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</si>
  <si>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</si>
  <si>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</si>
  <si>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</si>
  <si>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</si>
  <si>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</si>
  <si>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</si>
  <si>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</si>
  <si>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</si>
  <si>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</si>
  <si>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</si>
  <si>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</si>
  <si>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</si>
  <si>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</si>
  <si>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</si>
  <si>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</si>
  <si>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</si>
  <si>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</si>
  <si>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</si>
  <si>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</si>
  <si>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</si>
  <si>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</si>
  <si>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</si>
  <si>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</si>
  <si>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</si>
  <si>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</si>
  <si>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</si>
  <si>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</si>
  <si>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</si>
  <si>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</si>
  <si>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</si>
  <si>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</si>
  <si>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</si>
  <si>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</si>
  <si>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</si>
  <si>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</si>
  <si>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</si>
  <si>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</si>
  <si>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</si>
  <si>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</si>
  <si>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</si>
  <si>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</si>
  <si>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</si>
  <si>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</si>
  <si>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</si>
  <si>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</si>
  <si>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</si>
  <si>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</si>
  <si>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</si>
  <si>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</si>
  <si>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</si>
  <si>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</si>
  <si>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</si>
  <si>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</si>
  <si>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</si>
  <si>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</si>
  <si>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</si>
  <si>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</si>
  <si>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</si>
  <si>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</si>
  <si>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</si>
  <si>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</si>
  <si>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</si>
  <si>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</si>
  <si>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</si>
  <si>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</si>
  <si>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</si>
  <si>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</si>
  <si>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</si>
  <si>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</si>
  <si>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</si>
  <si>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</si>
  <si>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</si>
  <si>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</si>
  <si>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</si>
  <si>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</si>
  <si>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</si>
  <si>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</si>
  <si>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</si>
  <si>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</si>
  <si>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</si>
  <si>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</si>
  <si>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</si>
  <si>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</si>
  <si>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</si>
  <si>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</si>
  <si>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</si>
  <si>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</si>
  <si>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</si>
  <si>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</si>
  <si>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</si>
  <si>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</si>
  <si>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</si>
  <si>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</si>
  <si>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</si>
  <si>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</si>
  <si>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</si>
  <si>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</si>
  <si>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</si>
  <si>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</si>
  <si>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</si>
  <si>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</si>
  <si>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</si>
  <si>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</si>
  <si>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</si>
  <si>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</si>
  <si>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</si>
  <si>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</si>
  <si>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</si>
  <si>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</si>
  <si>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</si>
  <si>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</si>
  <si>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</si>
  <si>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</si>
  <si>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</si>
  <si>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</si>
  <si>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</si>
  <si>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</si>
  <si>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</si>
  <si>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</si>
  <si>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</si>
  <si>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</si>
  <si>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</si>
  <si>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</si>
  <si>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</si>
  <si>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</si>
  <si>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</si>
  <si>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</si>
  <si>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</si>
  <si>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</si>
  <si>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</si>
  <si>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</si>
  <si>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</si>
  <si>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</si>
  <si>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</si>
  <si>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</si>
  <si>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</si>
  <si>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</si>
  <si>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</si>
  <si>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</si>
  <si>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</si>
  <si>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</si>
  <si>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</si>
  <si>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</si>
  <si>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</si>
  <si>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</si>
  <si>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</si>
  <si>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</si>
  <si>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</si>
  <si>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</si>
  <si>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</si>
  <si>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</si>
  <si>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</si>
  <si>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</si>
  <si>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</si>
  <si>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</si>
  <si>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</si>
  <si>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</si>
  <si>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</si>
  <si>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</si>
  <si>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</si>
  <si>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</si>
  <si>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</si>
  <si>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</si>
  <si>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</si>
  <si>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</si>
  <si>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</si>
  <si>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</si>
  <si>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</si>
  <si>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</si>
  <si>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</si>
  <si>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</si>
  <si>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</si>
  <si>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</si>
  <si>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</si>
  <si>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</si>
  <si>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</si>
  <si>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</si>
  <si>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</si>
  <si>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</si>
  <si>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</si>
  <si>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</si>
  <si>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</si>
  <si>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</si>
  <si>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</si>
  <si>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</si>
  <si>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</si>
  <si>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</si>
  <si>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</si>
  <si>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</si>
  <si>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</si>
  <si>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</si>
  <si>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</si>
  <si>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</si>
  <si>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</si>
  <si>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</si>
  <si>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</si>
  <si>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</si>
  <si>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</si>
  <si>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</si>
  <si>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</si>
  <si>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</si>
  <si>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</si>
  <si>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</si>
  <si>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</si>
  <si>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</si>
  <si>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</si>
  <si>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</si>
  <si>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</si>
  <si>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</si>
  <si>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</si>
  <si>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</si>
  <si>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</si>
  <si>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</si>
  <si>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</si>
  <si>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</si>
  <si>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</si>
  <si>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</si>
  <si>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</si>
  <si>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</si>
  <si>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</si>
  <si>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</si>
  <si>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</si>
  <si>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</si>
  <si>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</si>
  <si>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</si>
  <si>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</si>
  <si>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</si>
  <si>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</si>
  <si>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</si>
  <si>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</si>
  <si>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</si>
  <si>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</si>
  <si>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</si>
  <si>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</si>
  <si>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</si>
  <si>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</si>
  <si>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</si>
  <si>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</si>
  <si>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</si>
  <si>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</si>
  <si>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</si>
  <si>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</si>
  <si>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</si>
  <si>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</si>
  <si>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</si>
  <si>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</si>
  <si>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</si>
  <si>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</si>
  <si>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</si>
  <si>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</si>
  <si>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</si>
  <si>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</si>
  <si>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</si>
  <si>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</si>
  <si>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</si>
  <si>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</si>
  <si>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</si>
  <si>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</si>
  <si>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</si>
  <si>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</si>
  <si>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</si>
  <si>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</si>
  <si>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</si>
  <si>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</si>
  <si>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</si>
  <si>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</si>
  <si>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</si>
  <si>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</si>
  <si>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</si>
  <si>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</si>
  <si>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</si>
  <si>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</si>
  <si>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</si>
  <si>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</si>
  <si>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</si>
  <si>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</si>
  <si>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</si>
  <si>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</si>
  <si>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</si>
  <si>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</si>
  <si>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</si>
  <si>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</si>
  <si>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</si>
  <si>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</si>
  <si>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</si>
  <si>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</si>
  <si>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</si>
  <si>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</si>
  <si>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</si>
  <si>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</si>
  <si>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</si>
  <si>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</si>
  <si>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</si>
  <si>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</si>
  <si>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</si>
  <si>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</si>
  <si>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</si>
  <si>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</si>
  <si>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</si>
  <si>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</si>
  <si>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</si>
  <si>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</si>
  <si>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</si>
  <si>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</si>
  <si>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</si>
  <si>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</si>
  <si>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</si>
  <si>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</si>
  <si>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</si>
  <si>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</si>
  <si>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</si>
  <si>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</si>
  <si>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</si>
  <si>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</si>
  <si>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</si>
  <si>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</si>
  <si>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</si>
  <si>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</si>
  <si>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</si>
  <si>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</si>
  <si>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</si>
  <si>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</si>
  <si>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</si>
  <si>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</si>
  <si>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</si>
  <si>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</si>
  <si>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</si>
  <si>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</si>
  <si>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</si>
  <si>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</si>
  <si>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</si>
  <si>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</si>
  <si>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</si>
  <si>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</si>
  <si>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</si>
  <si>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</si>
  <si>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</si>
  <si>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</si>
  <si>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</si>
  <si>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</si>
  <si>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</si>
  <si>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</si>
  <si>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</si>
  <si>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</si>
  <si>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</si>
  <si>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</si>
  <si>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</si>
  <si>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</si>
  <si>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</si>
  <si>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</si>
  <si>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</si>
  <si>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</si>
  <si>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</si>
  <si>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</si>
  <si>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</si>
  <si>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</si>
  <si>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</si>
  <si>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</si>
  <si>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</si>
  <si>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</si>
  <si>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</si>
  <si>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</si>
  <si>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</si>
  <si>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</si>
  <si>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</si>
  <si>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</si>
  <si>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</si>
  <si>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</si>
  <si>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</si>
  <si>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</si>
  <si>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</si>
  <si>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</si>
  <si>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</si>
  <si>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</si>
  <si>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</si>
  <si>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</si>
  <si>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</si>
  <si>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</si>
  <si>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</si>
  <si>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</si>
  <si>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</si>
  <si>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</si>
  <si>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</si>
  <si>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</si>
  <si>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</si>
  <si>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</si>
  <si>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</si>
  <si>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</si>
  <si>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</si>
  <si>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</si>
  <si>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</si>
  <si>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</si>
  <si>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</si>
  <si>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</si>
  <si>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</si>
  <si>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</si>
  <si>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</si>
  <si>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</si>
  <si>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</si>
  <si>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</si>
  <si>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</si>
  <si>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</si>
  <si>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</si>
  <si>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</si>
  <si>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</si>
  <si>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</si>
  <si>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</si>
  <si>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</si>
  <si>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</si>
  <si>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</si>
  <si>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</si>
  <si>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</si>
  <si>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</si>
  <si>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</si>
  <si>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</si>
  <si>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</si>
  <si>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</si>
  <si>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</si>
  <si>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</si>
  <si>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</si>
  <si>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</si>
  <si>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</si>
  <si>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</si>
  <si>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</si>
  <si>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</si>
  <si>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</si>
  <si>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</si>
  <si>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</si>
  <si>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</si>
  <si>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</si>
  <si>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</si>
  <si>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</si>
  <si>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</si>
  <si>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</si>
  <si>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</si>
  <si>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</si>
  <si>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</si>
  <si>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</si>
  <si>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</si>
  <si>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</si>
  <si>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</si>
  <si>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</si>
  <si>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</si>
  <si>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</si>
  <si>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</si>
  <si>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</si>
  <si>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</si>
  <si>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</si>
  <si>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</si>
  <si>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</si>
  <si>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</si>
  <si>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</si>
  <si>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</si>
  <si>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</si>
  <si>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</si>
  <si>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</si>
  <si>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</si>
  <si>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</si>
  <si>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</si>
  <si>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</si>
  <si>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</si>
  <si>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</si>
  <si>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</si>
  <si>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</si>
  <si>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</si>
  <si>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</si>
  <si>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</si>
  <si>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</si>
  <si>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</si>
  <si>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</si>
  <si>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</si>
  <si>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</si>
  <si>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</si>
  <si>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</si>
  <si>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</si>
  <si>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</si>
  <si>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</si>
  <si>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</si>
  <si>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</si>
  <si>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</si>
  <si>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</si>
  <si>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</si>
  <si>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</si>
  <si>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</si>
  <si>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</si>
  <si>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</si>
  <si>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</si>
  <si>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</si>
  <si>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</si>
  <si>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</si>
  <si>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</si>
  <si>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</si>
  <si>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</si>
  <si>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</si>
  <si>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</si>
  <si>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</si>
  <si>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</si>
  <si>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</si>
  <si>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</si>
  <si>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</si>
  <si>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</si>
  <si>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</si>
  <si>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</si>
  <si>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</si>
  <si>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</si>
  <si>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</si>
  <si>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</si>
  <si>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</si>
  <si>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</si>
  <si>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</si>
  <si>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</si>
  <si>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</si>
  <si>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</si>
  <si>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</si>
  <si>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</si>
  <si>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</si>
  <si>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</si>
  <si>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</si>
  <si>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</si>
  <si>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</si>
  <si>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</si>
  <si>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</si>
  <si>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</si>
  <si>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</si>
  <si>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</si>
  <si>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</si>
  <si>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</si>
  <si>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</si>
  <si>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</si>
  <si>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</si>
  <si>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</si>
  <si>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</si>
  <si>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</si>
  <si>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</si>
  <si>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</si>
  <si>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</si>
  <si>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</si>
  <si>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</si>
  <si>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</si>
  <si>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</si>
  <si>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</si>
  <si>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</si>
  <si>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</si>
  <si>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</si>
  <si>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</si>
  <si>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</si>
  <si>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</si>
  <si>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</si>
  <si>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</si>
  <si>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</si>
  <si>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</si>
  <si>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</si>
  <si>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</si>
  <si>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</si>
  <si>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</si>
  <si>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</si>
  <si>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</si>
  <si>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</si>
  <si>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</si>
  <si>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</si>
  <si>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</si>
  <si>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</si>
  <si>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</si>
  <si>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</si>
  <si>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</si>
  <si>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</si>
  <si>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</si>
  <si>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</si>
  <si>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</si>
  <si>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</si>
  <si>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</si>
  <si>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</si>
  <si>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</si>
  <si>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</si>
  <si>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</si>
  <si>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</si>
  <si>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</si>
  <si>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</si>
  <si>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</si>
  <si>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</si>
  <si>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</si>
  <si>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</si>
  <si>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</si>
  <si>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</si>
  <si>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</si>
  <si>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</si>
  <si>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</si>
  <si>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</si>
  <si>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</si>
  <si>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</si>
  <si>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</si>
  <si>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</si>
  <si>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</si>
  <si>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</si>
  <si>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</si>
  <si>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</si>
  <si>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</si>
  <si>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</si>
  <si>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</si>
  <si>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</si>
  <si>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</si>
  <si>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</si>
  <si>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</si>
  <si>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</si>
  <si>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</si>
  <si>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</si>
  <si>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</si>
  <si>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</si>
  <si>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</si>
  <si>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</si>
  <si>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</si>
  <si>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</si>
  <si>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</si>
  <si>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</si>
  <si>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</si>
  <si>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</si>
  <si>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</si>
  <si>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</si>
  <si>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</si>
  <si>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</si>
  <si>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</si>
  <si>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</si>
  <si>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</si>
  <si>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</si>
  <si>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</si>
  <si>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</si>
  <si>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</si>
  <si>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</si>
  <si>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</si>
  <si>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</si>
  <si>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</si>
  <si>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</si>
  <si>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</si>
  <si>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</si>
  <si>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</si>
  <si>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</si>
  <si>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</si>
  <si>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</si>
  <si>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</si>
  <si>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</si>
  <si>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</si>
  <si>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</si>
  <si>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</si>
  <si>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</si>
  <si>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</si>
  <si>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</si>
  <si>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</si>
  <si>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</si>
  <si>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</si>
  <si>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</si>
  <si>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</si>
  <si>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</si>
  <si>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</si>
  <si>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</si>
  <si>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</si>
  <si>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</si>
  <si>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</si>
  <si>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</si>
  <si>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</si>
  <si>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</si>
  <si>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</si>
  <si>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</si>
  <si>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</si>
  <si>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</si>
  <si>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</si>
  <si>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</si>
  <si>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</si>
  <si>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</si>
  <si>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</si>
  <si>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</si>
  <si>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</si>
  <si>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</si>
  <si>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</si>
  <si>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</si>
  <si>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</si>
  <si>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</si>
  <si>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</si>
  <si>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</si>
  <si>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</si>
  <si>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</si>
  <si>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</si>
  <si>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</si>
  <si>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</si>
  <si>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</si>
  <si>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</si>
  <si>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</si>
  <si>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</si>
  <si>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</si>
  <si>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</si>
  <si>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</si>
  <si>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</si>
  <si>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</si>
  <si>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</si>
  <si>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</si>
  <si>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</si>
  <si>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</si>
  <si>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</si>
  <si>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</si>
  <si>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</si>
  <si>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</si>
  <si>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</si>
  <si>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</si>
  <si>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</si>
  <si>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</si>
  <si>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</si>
  <si>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</si>
  <si>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</si>
  <si>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</si>
  <si>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</si>
  <si>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</si>
  <si>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</si>
  <si>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</si>
  <si>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</si>
  <si>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</si>
  <si>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</si>
  <si>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</si>
  <si>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</si>
  <si>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</si>
  <si>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</si>
  <si>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</si>
  <si>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</si>
  <si>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</si>
  <si>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</si>
  <si>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</si>
  <si>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</si>
  <si>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</si>
  <si>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</si>
  <si>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</si>
  <si>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</si>
  <si>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</si>
  <si>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</si>
  <si>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</si>
  <si>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</si>
  <si>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</si>
  <si>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</si>
  <si>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</si>
  <si>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</si>
  <si>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</si>
  <si>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</si>
  <si>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</si>
  <si>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</si>
  <si>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</si>
  <si>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</si>
  <si>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</si>
  <si>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</si>
  <si>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</si>
  <si>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</si>
  <si>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</si>
  <si>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</si>
  <si>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</si>
  <si>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</si>
  <si>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</si>
  <si>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</si>
  <si>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</si>
  <si>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</si>
  <si>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</si>
  <si>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</si>
  <si>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</si>
  <si>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</si>
  <si>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</si>
  <si>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</si>
  <si>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</si>
  <si>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</si>
  <si>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</si>
  <si>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</si>
  <si>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</si>
  <si>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</si>
  <si>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</si>
  <si>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</si>
  <si>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</si>
  <si>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</si>
  <si>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</si>
  <si>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</si>
  <si>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</si>
  <si>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</si>
  <si>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</si>
  <si>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</si>
  <si>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</si>
  <si>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</si>
  <si>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</si>
  <si>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</si>
  <si>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</si>
  <si>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</si>
  <si>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</si>
  <si>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</si>
  <si>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</si>
  <si>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</si>
  <si>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</si>
  <si>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</si>
  <si>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</si>
  <si>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</si>
  <si>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</si>
  <si>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</si>
  <si>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</si>
  <si>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</si>
  <si>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</si>
  <si>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</si>
  <si>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</si>
  <si>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</si>
  <si>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</si>
  <si>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</si>
  <si>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</si>
  <si>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</si>
  <si>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</si>
  <si>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</si>
  <si>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</si>
  <si>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</si>
  <si>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</si>
  <si>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</si>
  <si>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</si>
  <si>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</si>
  <si>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</si>
  <si>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</si>
  <si>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</si>
  <si>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</si>
  <si>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</si>
  <si>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</si>
  <si>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</si>
  <si>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</si>
  <si>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</si>
  <si>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</si>
  <si>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</si>
  <si>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</si>
  <si>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</si>
  <si>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</si>
  <si>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</si>
  <si>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</si>
  <si>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</si>
  <si>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</si>
  <si>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</si>
  <si>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</si>
  <si>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</si>
  <si>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</si>
  <si>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</si>
  <si>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</si>
  <si>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</si>
  <si>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</si>
  <si>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</si>
  <si>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</si>
  <si>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</si>
  <si>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</si>
  <si>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</si>
  <si>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</si>
  <si>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</si>
  <si>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</si>
  <si>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</si>
  <si>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</si>
  <si>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</si>
  <si>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</si>
  <si>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</si>
  <si>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</si>
  <si>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</si>
  <si>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</si>
  <si>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</si>
  <si>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</si>
  <si>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</si>
  <si>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</si>
  <si>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</si>
  <si>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</si>
  <si>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</si>
  <si>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</si>
  <si>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</si>
  <si>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</si>
  <si>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</si>
  <si>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</si>
  <si>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</si>
  <si>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</si>
  <si>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</si>
  <si>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</si>
  <si>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</si>
  <si>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</si>
  <si>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</si>
  <si>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</si>
  <si>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</si>
  <si>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</si>
  <si>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</si>
  <si>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</si>
  <si>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</si>
  <si>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</si>
  <si>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</si>
  <si>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</si>
  <si>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</si>
  <si>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</si>
  <si>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</si>
  <si>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</si>
  <si>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</si>
  <si>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</si>
  <si>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</si>
  <si>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</si>
  <si>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</si>
  <si>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</si>
  <si>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</si>
  <si>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</si>
  <si>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</si>
  <si>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</si>
  <si>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</si>
  <si>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</si>
  <si>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</si>
  <si>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</si>
  <si>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</si>
  <si>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</si>
  <si>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</si>
  <si>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</si>
  <si>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</si>
  <si>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</si>
  <si>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</si>
  <si>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</si>
  <si>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</si>
  <si>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</si>
  <si>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</si>
  <si>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</si>
  <si>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</si>
  <si>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</si>
  <si>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</si>
  <si>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</si>
  <si>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</si>
  <si>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</si>
  <si>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</si>
  <si>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</si>
  <si>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</si>
  <si>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</si>
  <si>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</si>
  <si>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</si>
  <si>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</si>
  <si>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</si>
  <si>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</si>
  <si>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</si>
  <si>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</si>
  <si>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</si>
  <si>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</si>
  <si>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</si>
  <si>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</si>
  <si>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</si>
  <si>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</si>
  <si>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</si>
  <si>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</si>
  <si>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</si>
  <si>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</si>
  <si>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</si>
  <si>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</si>
  <si>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</si>
  <si>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</si>
  <si>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</si>
  <si>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</si>
  <si>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</si>
  <si>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</si>
  <si>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</si>
  <si>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</si>
  <si>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</si>
  <si>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</si>
  <si>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</si>
  <si>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</si>
  <si>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</si>
  <si>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</si>
  <si>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</si>
  <si>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</si>
  <si>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</si>
  <si>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</si>
  <si>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</si>
  <si>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</si>
  <si>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</si>
  <si>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</si>
  <si>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</si>
  <si>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</si>
  <si>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</si>
  <si>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</si>
  <si>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</si>
  <si>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</si>
  <si>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</si>
  <si>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</si>
  <si>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</si>
  <si>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</si>
  <si>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</si>
  <si>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</si>
  <si>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</si>
  <si>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</si>
  <si>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</si>
  <si>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</si>
  <si>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</si>
  <si>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</si>
  <si>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</si>
  <si>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</si>
  <si>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</si>
  <si>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</si>
  <si>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</si>
  <si>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</si>
  <si>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</si>
  <si>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</si>
  <si>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</si>
  <si>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</si>
  <si>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</si>
  <si>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</si>
  <si>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</si>
  <si>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</si>
  <si>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</si>
  <si>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</si>
  <si>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</si>
  <si>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</si>
  <si>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</si>
  <si>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</si>
  <si>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</si>
  <si>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</si>
  <si>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</si>
  <si>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</si>
  <si>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</si>
  <si>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</si>
  <si>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</si>
  <si>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</si>
  <si>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</si>
  <si>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</si>
  <si>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</si>
  <si>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</si>
  <si>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</si>
  <si>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</si>
  <si>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</si>
  <si>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</si>
  <si>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</si>
  <si>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</si>
  <si>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</si>
  <si>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</si>
  <si>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</si>
  <si>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</si>
  <si>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</si>
  <si>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</si>
  <si>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</si>
  <si>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</si>
  <si>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</si>
  <si>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</si>
  <si>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</si>
  <si>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</si>
  <si>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</si>
  <si>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</si>
  <si>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</si>
  <si>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</si>
  <si>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</si>
  <si>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</si>
  <si>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</si>
  <si>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</si>
  <si>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</si>
  <si>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</si>
  <si>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</si>
  <si>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</si>
  <si>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</si>
  <si>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</si>
  <si>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</si>
  <si>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</si>
  <si>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</si>
  <si>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</si>
  <si>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</si>
  <si>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</si>
  <si>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</si>
  <si>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</si>
  <si>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</si>
  <si>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</si>
  <si>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</si>
  <si>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</si>
  <si>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</si>
  <si>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</si>
  <si>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</si>
  <si>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</si>
  <si>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</si>
  <si>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</si>
  <si>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</si>
  <si>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</si>
  <si>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</si>
  <si>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</si>
  <si>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</si>
  <si>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</si>
  <si>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</si>
  <si>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</si>
  <si>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</si>
  <si>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</si>
  <si>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</si>
  <si>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</si>
  <si>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</si>
  <si>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</si>
  <si>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</si>
  <si>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</si>
  <si>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</si>
  <si>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</si>
  <si>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</si>
  <si>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</si>
  <si>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</si>
  <si>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</si>
  <si>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</si>
  <si>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</si>
  <si>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</si>
  <si>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</si>
  <si>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</si>
  <si>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</si>
  <si>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</si>
  <si>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</si>
  <si>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</si>
  <si>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</si>
  <si>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</si>
  <si>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</si>
  <si>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</si>
  <si>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</si>
  <si>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</si>
  <si>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</si>
  <si>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</si>
  <si>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</si>
  <si>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</si>
  <si>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</si>
  <si>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</si>
  <si>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</si>
  <si>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</si>
  <si>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</si>
  <si>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</si>
  <si>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</si>
  <si>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</si>
  <si>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</si>
  <si>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</si>
  <si>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</si>
  <si>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</si>
  <si>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</si>
  <si>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</si>
  <si>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</si>
  <si>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</si>
  <si>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</si>
  <si>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</si>
  <si>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</si>
  <si>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</si>
  <si>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</si>
  <si>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</si>
  <si>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</si>
  <si>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</si>
  <si>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</si>
  <si>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</si>
  <si>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</si>
  <si>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</si>
  <si>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</si>
  <si>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</si>
  <si>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</si>
  <si>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</si>
  <si>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</si>
  <si>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</si>
  <si>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</si>
  <si>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</si>
  <si>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</si>
  <si>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</si>
  <si>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</si>
  <si>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</si>
  <si>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</si>
  <si>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</si>
  <si>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</si>
  <si>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</si>
  <si>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</si>
  <si>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</si>
  <si>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</si>
  <si>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</si>
  <si>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</si>
  <si>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</si>
  <si>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</si>
  <si>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</si>
  <si>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</si>
  <si>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</si>
  <si>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</si>
  <si>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</si>
  <si>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</si>
  <si>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</si>
  <si>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</si>
  <si>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</si>
  <si>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</si>
  <si>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</si>
  <si>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</si>
  <si>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</si>
  <si>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</si>
  <si>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</si>
  <si>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</si>
  <si>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</si>
  <si>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</si>
  <si>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</si>
  <si>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</si>
  <si>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</si>
  <si>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</si>
  <si>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</si>
  <si>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</si>
  <si>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</si>
  <si>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</si>
  <si>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</si>
  <si>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</si>
  <si>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</si>
  <si>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</si>
  <si>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</si>
  <si>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</si>
  <si>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</si>
  <si>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</si>
  <si>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</si>
  <si>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</si>
  <si>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</si>
  <si>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</si>
  <si>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</si>
  <si>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</si>
  <si>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</si>
  <si>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</si>
  <si>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</si>
  <si>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</si>
  <si>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</si>
  <si>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</si>
  <si>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</si>
  <si>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</si>
  <si>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</si>
  <si>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</si>
  <si>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</si>
  <si>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</si>
  <si>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</si>
  <si>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</si>
  <si>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</si>
  <si>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</si>
  <si>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</si>
  <si>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</si>
  <si>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</si>
  <si>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</si>
  <si>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</si>
  <si>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</si>
  <si>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</si>
  <si>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</si>
  <si>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</si>
  <si>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</si>
  <si>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</si>
  <si>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</si>
  <si>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</si>
  <si>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</si>
  <si>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</si>
  <si>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</si>
  <si>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</si>
  <si>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</si>
  <si>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</si>
  <si>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</si>
  <si>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</si>
  <si>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</si>
  <si>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</si>
  <si>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</si>
  <si>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</si>
  <si>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</si>
  <si>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</si>
  <si>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</si>
  <si>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</si>
  <si>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</si>
  <si>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</si>
  <si>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</si>
  <si>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</si>
  <si>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</si>
  <si>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</si>
  <si>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</si>
  <si>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</si>
  <si>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</si>
  <si>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</si>
  <si>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</si>
  <si>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</si>
  <si>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</si>
  <si>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</si>
  <si>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</si>
  <si>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</si>
  <si>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</si>
  <si>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</si>
  <si>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</si>
  <si>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</si>
  <si>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</si>
  <si>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</si>
  <si>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</si>
  <si>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</si>
  <si>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</si>
  <si>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</si>
  <si>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</si>
  <si>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</si>
  <si>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</si>
  <si>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</si>
  <si>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</si>
  <si>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</si>
  <si>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</si>
  <si>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</si>
  <si>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</si>
  <si>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</si>
  <si>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</si>
  <si>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</si>
  <si>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</si>
  <si>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</si>
  <si>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</si>
  <si>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</si>
  <si>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</si>
  <si>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</si>
  <si>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</si>
  <si>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</si>
  <si>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</si>
  <si>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</si>
  <si>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</si>
  <si>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</si>
  <si>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</si>
  <si>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</si>
  <si>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</si>
  <si>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</si>
  <si>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</si>
  <si>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</si>
  <si>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</si>
  <si>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</si>
  <si>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</si>
  <si>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</si>
  <si>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</si>
  <si>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</si>
  <si>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</si>
  <si>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</si>
  <si>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</si>
  <si>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</si>
  <si>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</si>
  <si>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</si>
  <si>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</si>
  <si>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</si>
  <si>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</si>
  <si>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</si>
  <si>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</si>
  <si>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</si>
  <si>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</si>
  <si>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</si>
  <si>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</si>
  <si>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</si>
  <si>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</si>
  <si>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</si>
  <si>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</si>
  <si>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</si>
  <si>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</si>
  <si>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</si>
  <si>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</si>
  <si>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</si>
  <si>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</si>
  <si>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</si>
  <si>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</si>
  <si>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</si>
  <si>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</si>
  <si>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</si>
  <si>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</si>
  <si>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</si>
  <si>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</si>
  <si>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</si>
  <si>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</si>
  <si>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</si>
  <si>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</si>
  <si>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</si>
  <si>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</si>
  <si>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</si>
  <si>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</si>
  <si>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</si>
  <si>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</si>
  <si>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</si>
  <si>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</si>
  <si>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</si>
  <si>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</si>
  <si>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</si>
  <si>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</si>
  <si>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</si>
  <si>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</si>
  <si>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</si>
  <si>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</si>
  <si>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</si>
  <si>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</si>
  <si>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</si>
  <si>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</si>
  <si>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</si>
  <si>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</si>
  <si>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</si>
  <si>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</si>
  <si>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</si>
  <si>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</si>
  <si>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</si>
  <si>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</si>
  <si>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</si>
  <si>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</si>
  <si>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</si>
  <si>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</si>
  <si>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</si>
  <si>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</si>
  <si>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</si>
  <si>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</si>
  <si>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</si>
  <si>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</si>
  <si>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</si>
  <si>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</si>
  <si>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</si>
  <si>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</si>
  <si>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</si>
  <si>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</si>
  <si>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</si>
  <si>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</si>
  <si>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</si>
  <si>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</si>
  <si>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</si>
  <si>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</si>
  <si>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</si>
  <si>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</si>
  <si>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</si>
  <si>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</si>
  <si>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</si>
  <si>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</si>
  <si>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</si>
  <si>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</si>
  <si>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</si>
  <si>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</si>
  <si>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</si>
  <si>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</si>
  <si>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</si>
  <si>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</si>
  <si>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</si>
  <si>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</si>
  <si>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</si>
  <si>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</si>
  <si>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</si>
  <si>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</si>
  <si>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</si>
  <si>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</si>
  <si>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</si>
  <si>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</si>
  <si>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</si>
  <si>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</si>
  <si>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</si>
  <si>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</si>
  <si>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</si>
  <si>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</si>
  <si>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</si>
  <si>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</si>
  <si>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</si>
  <si>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</si>
  <si>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</si>
  <si>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</si>
  <si>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</si>
  <si>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</si>
  <si>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</si>
  <si>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</si>
  <si>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</si>
  <si>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</si>
  <si>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</si>
  <si>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</si>
  <si>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</si>
  <si>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</si>
  <si>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</si>
  <si>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</si>
  <si>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</si>
  <si>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</si>
  <si>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</si>
  <si>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</si>
  <si>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</si>
  <si>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</si>
  <si>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</si>
  <si>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</si>
  <si>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</si>
  <si>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</si>
  <si>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</si>
  <si>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</si>
  <si>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</si>
  <si>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</si>
  <si>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</si>
  <si>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</si>
  <si>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</si>
  <si>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</si>
  <si>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</si>
  <si>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</si>
  <si>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</si>
  <si>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</si>
  <si>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</si>
  <si>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</si>
  <si>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</si>
  <si>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</si>
  <si>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</si>
  <si>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</si>
  <si>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</si>
  <si>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</si>
  <si>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</si>
  <si>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</si>
  <si>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</si>
  <si>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</si>
  <si>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</si>
  <si>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</si>
  <si>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</si>
  <si>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</si>
  <si>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</si>
  <si>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</si>
  <si>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</si>
  <si>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</si>
  <si>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</si>
  <si>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</si>
  <si>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</si>
  <si>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</si>
  <si>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</si>
  <si>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</si>
  <si>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</si>
  <si>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</si>
  <si>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</si>
  <si>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</si>
  <si>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</si>
  <si>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</si>
  <si>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</si>
  <si>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</si>
  <si>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</si>
  <si>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</si>
  <si>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</si>
  <si>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</si>
  <si>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</si>
  <si>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</si>
  <si>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</si>
  <si>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</si>
  <si>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</si>
  <si>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</si>
  <si>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</si>
  <si>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</si>
  <si>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</si>
  <si>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</si>
  <si>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</si>
  <si>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</si>
  <si>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</si>
  <si>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</si>
  <si>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</si>
  <si>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</si>
  <si>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</si>
  <si>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</si>
  <si>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</si>
  <si>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</si>
  <si>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</si>
  <si>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</si>
  <si>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</si>
  <si>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</si>
  <si>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</si>
  <si>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</si>
  <si>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</si>
  <si>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</si>
  <si>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</si>
  <si>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</si>
  <si>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</si>
  <si>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</si>
  <si>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</si>
  <si>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</si>
  <si>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</si>
  <si>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</si>
  <si>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</si>
  <si>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</si>
  <si>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</si>
  <si>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</si>
  <si>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</si>
  <si>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</si>
  <si>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</si>
  <si>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</si>
  <si>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</si>
  <si>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</si>
  <si>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</si>
  <si>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</si>
  <si>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</si>
  <si>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</si>
  <si>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</si>
  <si>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</si>
  <si>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</si>
  <si>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</si>
  <si>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</si>
  <si>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</si>
  <si>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</si>
  <si>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</si>
  <si>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</si>
  <si>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</si>
  <si>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</si>
  <si>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</si>
  <si>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</si>
  <si>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</si>
  <si>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</si>
  <si>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</si>
  <si>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</si>
  <si>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</si>
  <si>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</si>
  <si>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</si>
  <si>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</si>
  <si>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</si>
  <si>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</si>
  <si>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</si>
  <si>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</si>
  <si>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</si>
  <si>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</si>
  <si>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</si>
  <si>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</si>
  <si>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</si>
  <si>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</si>
  <si>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</si>
  <si>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</si>
  <si>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</si>
  <si>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</si>
  <si>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</si>
  <si>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</si>
  <si>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</si>
  <si>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</si>
  <si>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</si>
  <si>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</si>
  <si>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</si>
  <si>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</si>
  <si>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</si>
  <si>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</si>
  <si>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</si>
  <si>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</si>
  <si>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</si>
  <si>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</si>
  <si>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</si>
  <si>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</si>
  <si>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</si>
  <si>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</si>
  <si>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</si>
  <si>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</si>
  <si>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</si>
  <si>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</si>
  <si>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</si>
  <si>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</si>
  <si>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</si>
  <si>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</si>
  <si>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</si>
  <si>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</si>
  <si>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</si>
  <si>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</si>
  <si>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</si>
  <si>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</si>
  <si>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</si>
  <si>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</si>
  <si>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</si>
  <si>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</si>
  <si>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</si>
  <si>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</si>
  <si>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</si>
  <si>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</si>
  <si>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</si>
  <si>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</si>
  <si>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</si>
  <si>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</si>
  <si>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</si>
  <si>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</si>
  <si>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</si>
  <si>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</si>
  <si>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</si>
  <si>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</si>
  <si>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</si>
  <si>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</si>
  <si>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</si>
  <si>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</si>
  <si>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</si>
  <si>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</si>
  <si>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</si>
  <si>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</si>
  <si>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</si>
  <si>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</si>
  <si>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</si>
  <si>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</si>
  <si>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</si>
  <si>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</si>
  <si>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</si>
  <si>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</si>
  <si>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</si>
  <si>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</si>
  <si>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</si>
  <si>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</si>
  <si>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</si>
  <si>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</si>
  <si>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</si>
  <si>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</si>
  <si>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</si>
  <si>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</si>
  <si>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</si>
  <si>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</si>
  <si>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</si>
  <si>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</si>
  <si>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</si>
  <si>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</si>
  <si>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</si>
  <si>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</si>
  <si>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</si>
  <si>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</si>
  <si>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</si>
  <si>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</si>
  <si>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</si>
  <si>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</si>
  <si>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</si>
  <si>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</si>
  <si>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</si>
  <si>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</si>
  <si>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</si>
  <si>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</si>
  <si>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</si>
  <si>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</si>
  <si>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</si>
  <si>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</si>
  <si>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</si>
  <si>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</si>
  <si>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</si>
  <si>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</si>
  <si>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</si>
  <si>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</si>
  <si>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</si>
  <si>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</si>
  <si>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</si>
  <si>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</si>
  <si>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</si>
  <si>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</si>
  <si>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</si>
  <si>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</si>
  <si>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</si>
  <si>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</si>
  <si>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</si>
  <si>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</si>
  <si>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</si>
  <si>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</si>
  <si>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</si>
  <si>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</si>
  <si>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</si>
  <si>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</si>
  <si>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</si>
  <si>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</si>
  <si>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</si>
  <si>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</si>
  <si>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</si>
  <si>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</si>
  <si>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</si>
  <si>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</si>
  <si>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</si>
  <si>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</si>
  <si>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</si>
  <si>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</si>
  <si>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</si>
  <si>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</si>
  <si>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</si>
  <si>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</si>
  <si>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</si>
  <si>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</si>
  <si>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</si>
  <si>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</si>
  <si>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</si>
  <si>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</si>
  <si>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</si>
  <si>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</si>
  <si>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</si>
  <si>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</si>
  <si>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</si>
  <si>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</si>
  <si>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</si>
  <si>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</si>
  <si>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</si>
  <si>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</si>
  <si>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</si>
  <si>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</si>
  <si>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</si>
  <si>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</si>
  <si>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</si>
  <si>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</si>
  <si>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</si>
  <si>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</si>
  <si>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</si>
  <si>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</si>
  <si>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</si>
  <si>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</si>
  <si>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</si>
  <si>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</si>
  <si>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</si>
  <si>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</si>
  <si>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</si>
  <si>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</si>
  <si>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</si>
  <si>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</si>
  <si>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</si>
  <si>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</si>
  <si>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</si>
  <si>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</si>
  <si>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</si>
  <si>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</si>
  <si>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</si>
  <si>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</si>
  <si>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</si>
  <si>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</si>
  <si>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</si>
  <si>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</si>
  <si>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</si>
  <si>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</si>
  <si>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</si>
  <si>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</si>
  <si>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</si>
  <si>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</si>
  <si>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</si>
  <si>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</si>
  <si>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</si>
  <si>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</si>
  <si>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</si>
  <si>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</si>
  <si>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</si>
  <si>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</si>
  <si>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</si>
  <si>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</si>
  <si>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</si>
  <si>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</si>
  <si>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</si>
  <si>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</si>
  <si>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</si>
  <si>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</si>
  <si>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</si>
  <si>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</si>
  <si>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</si>
  <si>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</si>
  <si>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</si>
  <si>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</si>
  <si>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</si>
  <si>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</si>
  <si>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</si>
  <si>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</si>
  <si>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</si>
  <si>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</si>
  <si>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</si>
  <si>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</si>
  <si>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</si>
  <si>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</si>
  <si>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</si>
  <si>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</si>
  <si>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</si>
  <si>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</si>
  <si>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</si>
  <si>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</si>
  <si>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</si>
  <si>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</si>
  <si>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</si>
  <si>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</si>
  <si>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</si>
  <si>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</si>
  <si>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</si>
  <si>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</si>
  <si>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</si>
  <si>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</si>
  <si>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</si>
  <si>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</si>
  <si>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</si>
  <si>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</si>
  <si>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</si>
  <si>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</si>
  <si>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</si>
  <si>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</si>
  <si>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</si>
  <si>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</si>
  <si>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</si>
  <si>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</si>
  <si>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</si>
  <si>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</si>
  <si>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</si>
  <si>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</si>
  <si>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</si>
  <si>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</si>
  <si>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</si>
  <si>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</si>
  <si>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</si>
  <si>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</si>
  <si>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</si>
  <si>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</si>
  <si>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</si>
  <si>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</si>
  <si>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</si>
  <si>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</si>
  <si>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</si>
  <si>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</si>
  <si>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</si>
  <si>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</si>
  <si>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</si>
  <si>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</si>
  <si>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</si>
  <si>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</si>
  <si>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</si>
  <si>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</si>
  <si>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</si>
  <si>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</si>
  <si>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</si>
  <si>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</si>
  <si>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</si>
  <si>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</si>
  <si>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</si>
  <si>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</si>
  <si>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</si>
  <si>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</si>
  <si>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</si>
  <si>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</si>
  <si>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</si>
  <si>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</si>
  <si>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</si>
  <si>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</si>
  <si>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</si>
  <si>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</si>
  <si>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</si>
  <si>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</si>
  <si>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</si>
  <si>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</si>
  <si>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</si>
  <si>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</si>
  <si>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</si>
  <si>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</si>
  <si>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</si>
  <si>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</si>
  <si>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</si>
  <si>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</si>
  <si>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</si>
  <si>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</si>
  <si>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</si>
  <si>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</si>
  <si>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</si>
  <si>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</si>
  <si>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</si>
  <si>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</si>
  <si>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</si>
  <si>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</si>
  <si>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</si>
  <si>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</si>
  <si>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</si>
  <si>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</si>
  <si>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</si>
  <si>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</si>
  <si>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</si>
  <si>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</si>
  <si>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</si>
  <si>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</si>
  <si>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</si>
  <si>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</si>
  <si>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</si>
  <si>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</si>
  <si>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</si>
  <si>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</si>
  <si>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</si>
  <si>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</si>
  <si>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</si>
  <si>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</si>
  <si>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</si>
  <si>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</si>
  <si>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</si>
  <si>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</si>
  <si>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</si>
  <si>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</si>
  <si>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</si>
  <si>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</si>
  <si>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</si>
  <si>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</si>
  <si>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</si>
  <si>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</si>
  <si>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</si>
  <si>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</si>
  <si>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</si>
  <si>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</si>
  <si>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</si>
  <si>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</si>
  <si>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</si>
  <si>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</si>
  <si>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</si>
  <si>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</si>
  <si>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</si>
  <si>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</si>
  <si>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</si>
  <si>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</si>
  <si>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</si>
  <si>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</si>
  <si>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</si>
  <si>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</si>
  <si>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</si>
  <si>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</si>
  <si>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</si>
  <si>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</si>
  <si>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</si>
  <si>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</si>
  <si>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</si>
  <si>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</si>
  <si>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</si>
  <si>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</si>
  <si>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</si>
  <si>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</si>
  <si>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</si>
  <si>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</si>
  <si>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</si>
  <si>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</si>
  <si>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</si>
  <si>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</si>
  <si>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</si>
  <si>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</si>
  <si>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</si>
  <si>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</si>
  <si>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</si>
  <si>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</si>
  <si>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</si>
  <si>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</si>
  <si>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</si>
  <si>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</si>
  <si>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</si>
  <si>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</si>
  <si>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</si>
  <si>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</si>
  <si>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</si>
  <si>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</si>
  <si>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</si>
  <si>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</si>
  <si>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</si>
  <si>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</si>
  <si>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</si>
  <si>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</si>
  <si>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</si>
  <si>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</si>
  <si>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</si>
  <si>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</si>
  <si>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</si>
  <si>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</si>
  <si>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</si>
  <si>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</si>
  <si>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</si>
  <si>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</si>
  <si>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</si>
  <si>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</si>
  <si>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</si>
  <si>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</si>
  <si>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</si>
  <si>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</si>
  <si>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</si>
  <si>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</si>
  <si>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</si>
  <si>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</si>
  <si>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</si>
  <si>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</si>
  <si>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</si>
  <si>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</si>
  <si>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</si>
  <si>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</si>
  <si>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</si>
  <si>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</si>
  <si>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</si>
  <si>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</si>
  <si>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</si>
  <si>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</si>
  <si>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</si>
  <si>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</si>
  <si>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</si>
  <si>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</si>
  <si>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</si>
  <si>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</si>
  <si>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</si>
  <si>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</si>
  <si>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</si>
  <si>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</si>
  <si>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</si>
  <si>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</si>
  <si>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</si>
  <si>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</si>
  <si>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</si>
  <si>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</si>
  <si>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</si>
  <si>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</si>
  <si>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</si>
  <si>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</si>
  <si>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</si>
  <si>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</si>
  <si>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</si>
  <si>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</si>
  <si>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</si>
  <si>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</si>
  <si>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</si>
  <si>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</si>
  <si>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</si>
  <si>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</si>
  <si>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</si>
  <si>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</si>
  <si>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</si>
  <si>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</si>
  <si>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</si>
  <si>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</si>
  <si>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</si>
  <si>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</si>
  <si>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</si>
  <si>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</si>
  <si>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</si>
  <si>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</si>
  <si>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</si>
  <si>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</si>
  <si>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</si>
  <si>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</si>
  <si>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</si>
  <si>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</si>
  <si>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</si>
  <si>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</si>
  <si>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</si>
  <si>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</si>
  <si>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</si>
  <si>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</si>
  <si>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</si>
  <si>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</si>
  <si>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</si>
  <si>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</si>
  <si>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</si>
  <si>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</si>
  <si>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</si>
  <si>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</si>
  <si>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</si>
  <si>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</si>
  <si>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</si>
  <si>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</si>
  <si>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</si>
  <si>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</si>
  <si>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</si>
  <si>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</si>
  <si>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</si>
  <si>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</si>
  <si>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</si>
  <si>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</si>
  <si>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</si>
  <si>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</si>
  <si>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</si>
  <si>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</si>
  <si>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</si>
  <si>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</si>
  <si>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</si>
  <si>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</si>
  <si>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</si>
  <si>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</si>
  <si>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</si>
  <si>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</si>
  <si>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</si>
  <si>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</si>
  <si>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</si>
  <si>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</si>
  <si>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</si>
  <si>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</si>
  <si>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</si>
  <si>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</si>
  <si>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</si>
  <si>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</si>
  <si>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</si>
  <si>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</si>
  <si>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</si>
  <si>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</si>
  <si>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</si>
  <si>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</si>
  <si>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</si>
  <si>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</si>
  <si>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</si>
  <si>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</si>
  <si>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</si>
  <si>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</si>
  <si>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</si>
  <si>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</si>
  <si>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</si>
  <si>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</si>
  <si>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</si>
  <si>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</si>
  <si>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</si>
  <si>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</si>
  <si>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</si>
  <si>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</si>
  <si>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</si>
  <si>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</si>
  <si>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</si>
  <si>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</si>
  <si>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</si>
  <si>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</si>
  <si>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</si>
  <si>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</si>
  <si>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</si>
  <si>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</si>
  <si>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</si>
  <si>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</si>
  <si>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</si>
  <si>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</si>
  <si>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</si>
  <si>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</si>
  <si>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</si>
  <si>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</si>
  <si>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</si>
  <si>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</si>
  <si>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</si>
  <si>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</si>
  <si>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</si>
  <si>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</si>
  <si>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</si>
  <si>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</si>
  <si>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</si>
  <si>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</si>
  <si>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</si>
  <si>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</si>
  <si>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</si>
  <si>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</si>
  <si>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</si>
  <si>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</si>
  <si>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</si>
  <si>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</si>
  <si>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</si>
  <si>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</si>
  <si>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</si>
  <si>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</si>
  <si>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</si>
  <si>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</si>
  <si>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</si>
  <si>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</si>
  <si>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</si>
  <si>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</si>
  <si>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</si>
  <si>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</si>
  <si>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</si>
  <si>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</si>
  <si>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</si>
  <si>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</si>
  <si>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</si>
  <si>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</si>
  <si>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</si>
  <si>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</si>
  <si>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</si>
  <si>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</si>
  <si>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</si>
  <si>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</si>
  <si>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</si>
  <si>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</si>
  <si>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</si>
  <si>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</si>
  <si>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</si>
  <si>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</si>
  <si>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</si>
  <si>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</si>
  <si>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</si>
  <si>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</si>
  <si>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</si>
  <si>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</si>
  <si>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</si>
  <si>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</si>
  <si>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</si>
  <si>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</si>
  <si>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</si>
  <si>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</si>
  <si>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</si>
  <si>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</si>
  <si>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</si>
  <si>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</si>
  <si>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</si>
  <si>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</si>
  <si>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</si>
  <si>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</si>
  <si>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</si>
  <si>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</si>
  <si>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</si>
  <si>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</si>
  <si>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</si>
  <si>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</si>
  <si>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</si>
  <si>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</si>
  <si>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</si>
  <si>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</si>
  <si>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</si>
  <si>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</si>
  <si>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</si>
  <si>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</si>
  <si>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</si>
  <si>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</si>
  <si>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</si>
  <si>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</si>
  <si>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</si>
  <si>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</si>
  <si>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</si>
  <si>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</si>
  <si>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</si>
  <si>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</si>
  <si>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</si>
  <si>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</si>
  <si>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</si>
  <si>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</si>
  <si>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</si>
  <si>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</si>
  <si>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</si>
  <si>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</si>
  <si>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</si>
  <si>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</si>
  <si>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</si>
  <si>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</si>
  <si>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</si>
  <si>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</si>
  <si>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</si>
  <si>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</si>
  <si>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</si>
  <si>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</si>
  <si>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</si>
  <si>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</si>
  <si>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</si>
  <si>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</si>
  <si>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</si>
  <si>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</si>
  <si>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</si>
  <si>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</si>
  <si>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</si>
  <si>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</si>
  <si>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</si>
  <si>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</si>
  <si>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</si>
  <si>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</si>
  <si>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</si>
  <si>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</si>
  <si>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</si>
  <si>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</si>
  <si>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</si>
  <si>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</si>
  <si>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</si>
  <si>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</si>
  <si>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</si>
  <si>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</si>
  <si>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</si>
  <si>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</si>
  <si>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</si>
  <si>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</si>
  <si>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</si>
  <si>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</si>
  <si>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</si>
  <si>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</si>
  <si>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</si>
  <si>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</si>
  <si>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</si>
  <si>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</si>
  <si>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</si>
  <si>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</si>
  <si>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</si>
  <si>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</si>
  <si>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</si>
  <si>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</si>
  <si>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</si>
  <si>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</si>
  <si>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</si>
  <si>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</si>
  <si>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</si>
  <si>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</si>
  <si>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</si>
  <si>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</si>
  <si>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</si>
  <si>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</si>
  <si>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</si>
  <si>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</si>
  <si>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</si>
  <si>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</si>
  <si>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</si>
  <si>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</si>
  <si>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</si>
  <si>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</si>
  <si>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</si>
  <si>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</si>
  <si>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</si>
  <si>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</si>
  <si>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</si>
  <si>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</si>
  <si>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</si>
  <si>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</si>
  <si>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</si>
  <si>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</si>
  <si>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</si>
  <si>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</si>
  <si>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</si>
  <si>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</si>
  <si>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</si>
  <si>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</si>
  <si>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</si>
  <si>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</si>
  <si>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</si>
  <si>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</si>
  <si>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</si>
  <si>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</si>
  <si>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</si>
  <si>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</si>
  <si>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</si>
  <si>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</si>
  <si>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</si>
  <si>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</si>
  <si>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</si>
  <si>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</si>
  <si>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</si>
  <si>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</si>
  <si>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</si>
  <si>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</si>
  <si>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</si>
  <si>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</si>
  <si>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</si>
  <si>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</si>
  <si>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</si>
  <si>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</si>
  <si>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</si>
  <si>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</si>
  <si>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</si>
  <si>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</si>
  <si>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</si>
  <si>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</si>
  <si>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</si>
  <si>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</si>
  <si>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</si>
  <si>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</si>
  <si>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</si>
  <si>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</si>
  <si>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</si>
  <si>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</si>
  <si>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</si>
  <si>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</si>
  <si>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</si>
  <si>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</si>
  <si>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</si>
  <si>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</si>
  <si>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</si>
  <si>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</si>
  <si>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</si>
  <si>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</si>
  <si>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</si>
  <si>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</si>
  <si>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</si>
  <si>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</si>
  <si>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</si>
  <si>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</si>
  <si>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</si>
  <si>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</si>
  <si>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</si>
  <si>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</si>
  <si>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</si>
  <si>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</si>
  <si>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</si>
  <si>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</si>
  <si>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</si>
  <si>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</si>
  <si>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</si>
  <si>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</si>
  <si>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</si>
  <si>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</si>
  <si>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</si>
  <si>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</si>
  <si>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</si>
  <si>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</si>
  <si>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</si>
  <si>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</si>
  <si>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</si>
  <si>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</si>
  <si>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</si>
  <si>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</si>
  <si>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</si>
  <si>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</si>
  <si>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</si>
  <si>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</si>
  <si>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</si>
  <si>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</si>
  <si>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</si>
  <si>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</si>
  <si>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</si>
  <si>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</si>
  <si>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</si>
  <si>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</si>
  <si>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</si>
  <si>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</si>
  <si>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</si>
  <si>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</si>
  <si>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</si>
  <si>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</si>
  <si>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</si>
  <si>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</si>
  <si>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</si>
  <si>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</si>
  <si>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</si>
  <si>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</si>
  <si>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</si>
  <si>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</si>
  <si>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</si>
  <si>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</si>
  <si>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</si>
  <si>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</si>
  <si>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</si>
  <si>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</si>
  <si>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</si>
  <si>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</si>
  <si>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</si>
  <si>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</si>
  <si>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</si>
  <si>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</si>
  <si>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</si>
  <si>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</si>
  <si>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</si>
  <si>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</si>
  <si>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</si>
  <si>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</si>
  <si>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</si>
  <si>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</si>
  <si>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</si>
  <si>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</si>
  <si>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</si>
  <si>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</si>
  <si>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</si>
  <si>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</si>
  <si>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</si>
  <si>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</si>
  <si>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</si>
  <si>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</si>
  <si>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</si>
  <si>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</si>
  <si>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</si>
  <si>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</si>
  <si>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</si>
  <si>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</si>
  <si>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</si>
  <si>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</si>
  <si>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</si>
  <si>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</si>
  <si>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</si>
  <si>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</si>
  <si>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</si>
  <si>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</si>
  <si>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</si>
  <si>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</si>
  <si>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</si>
  <si>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</si>
  <si>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</si>
  <si>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</si>
  <si>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</si>
  <si>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</si>
  <si>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</si>
  <si>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</si>
  <si>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</si>
  <si>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</si>
  <si>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</si>
  <si>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</si>
  <si>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</si>
  <si>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</si>
  <si>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</si>
  <si>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</si>
  <si>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</si>
  <si>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</si>
  <si>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</si>
  <si>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</si>
  <si>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</si>
  <si>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</si>
  <si>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</si>
  <si>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</si>
  <si>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</si>
  <si>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</si>
  <si>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</si>
  <si>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</si>
  <si>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</si>
  <si>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</si>
  <si>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</si>
  <si>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</si>
  <si>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</si>
  <si>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</si>
  <si>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</si>
  <si>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</si>
  <si>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</si>
  <si>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</si>
  <si>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</si>
  <si>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</si>
  <si>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</si>
  <si>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</si>
  <si>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</si>
  <si>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</si>
  <si>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</si>
  <si>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</si>
  <si>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</si>
  <si>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</si>
  <si>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</si>
  <si>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</si>
  <si>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</si>
  <si>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</si>
  <si>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</si>
  <si>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</si>
  <si>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</si>
  <si>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</si>
  <si>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</si>
  <si>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</si>
  <si>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</si>
  <si>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</si>
  <si>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</si>
  <si>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</si>
  <si>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</si>
  <si>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</si>
  <si>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</si>
  <si>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</si>
  <si>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</si>
  <si>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</si>
  <si>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</si>
  <si>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</si>
  <si>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</si>
  <si>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</si>
  <si>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</si>
  <si>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</si>
  <si>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</si>
  <si>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</si>
  <si>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</si>
  <si>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</si>
  <si>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</si>
  <si>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</si>
  <si>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</si>
  <si>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</si>
  <si>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</si>
  <si>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</si>
  <si>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</si>
  <si>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</si>
  <si>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</si>
  <si>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</si>
  <si>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</si>
  <si>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</si>
  <si>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</si>
  <si>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</si>
  <si>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</si>
  <si>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</si>
  <si>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</si>
  <si>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</si>
  <si>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</si>
  <si>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</si>
  <si>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</si>
  <si>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</si>
  <si>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</si>
  <si>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</si>
  <si>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</si>
  <si>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</si>
  <si>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</si>
  <si>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</si>
  <si>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</si>
  <si>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</si>
  <si>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</si>
  <si>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</si>
  <si>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</si>
  <si>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</si>
  <si>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</si>
  <si>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</si>
  <si>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</si>
  <si>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</si>
  <si>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</si>
  <si>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</si>
  <si>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</si>
  <si>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</si>
  <si>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</si>
  <si>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</si>
  <si>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</si>
  <si>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</si>
  <si>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</si>
  <si>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</si>
  <si>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</si>
  <si>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</si>
  <si>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</si>
  <si>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</si>
  <si>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</si>
  <si>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</si>
  <si>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</si>
  <si>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</si>
  <si>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</si>
  <si>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</si>
  <si>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</si>
  <si>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</si>
  <si>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</si>
  <si>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</si>
  <si>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</si>
  <si>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</si>
  <si>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</si>
  <si>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</si>
  <si>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</si>
  <si>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</si>
  <si>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</si>
  <si>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</si>
  <si>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</si>
  <si>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</si>
  <si>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</si>
  <si>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</si>
  <si>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</si>
  <si>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</si>
  <si>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</si>
  <si>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</si>
  <si>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</si>
  <si>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</si>
  <si>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</si>
  <si>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</si>
  <si>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</si>
  <si>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</si>
  <si>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</si>
  <si>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</si>
  <si>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</si>
  <si>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</si>
  <si>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</si>
  <si>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</si>
  <si>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</si>
  <si>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</si>
  <si>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</si>
  <si>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</si>
  <si>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</si>
  <si>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</si>
  <si>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</si>
  <si>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</si>
  <si>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</si>
  <si>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</si>
  <si>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</si>
  <si>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</si>
  <si>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</si>
  <si>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</si>
  <si>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</si>
  <si>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</si>
  <si>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</si>
  <si>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</si>
  <si>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</si>
  <si>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</si>
  <si>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</si>
  <si>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</si>
  <si>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</si>
  <si>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</si>
  <si>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</si>
  <si>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</si>
  <si>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</si>
  <si>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</si>
  <si>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</si>
  <si>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</si>
  <si>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</si>
  <si>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</si>
  <si>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</si>
  <si>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</si>
  <si>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</si>
  <si>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</si>
  <si>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</si>
  <si>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</si>
  <si>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</si>
  <si>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</si>
  <si>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</si>
  <si>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</si>
  <si>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</si>
  <si>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</si>
  <si>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</si>
  <si>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</si>
  <si>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</si>
  <si>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</si>
  <si>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</si>
  <si>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</si>
  <si>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</si>
  <si>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</si>
  <si>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</si>
  <si>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</si>
  <si>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</si>
  <si>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</si>
  <si>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</si>
  <si>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</si>
  <si>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</si>
  <si>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</si>
  <si>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</si>
  <si>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</si>
  <si>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</si>
  <si>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</si>
  <si>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</si>
  <si>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</si>
  <si>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</si>
  <si>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</si>
  <si>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</si>
  <si>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</si>
  <si>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</si>
  <si>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</si>
  <si>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</si>
  <si>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</si>
  <si>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</si>
  <si>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</si>
  <si>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</si>
  <si>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</si>
  <si>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</si>
  <si>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</si>
  <si>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</si>
  <si>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</si>
  <si>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</si>
  <si>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</si>
  <si>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</si>
  <si>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</si>
  <si>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</si>
  <si>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</si>
  <si>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</si>
  <si>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</si>
  <si>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</si>
  <si>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</si>
  <si>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</si>
  <si>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</si>
  <si>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</si>
  <si>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</si>
  <si>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</si>
  <si>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</si>
  <si>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</si>
  <si>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</si>
  <si>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</si>
  <si>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</si>
  <si>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</si>
  <si>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</si>
  <si>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</si>
  <si>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</si>
  <si>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</si>
  <si>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</si>
  <si>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</si>
  <si>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</si>
  <si>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</si>
  <si>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</si>
  <si>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</si>
  <si>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</si>
  <si>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</si>
  <si>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</si>
  <si>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</si>
  <si>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</si>
  <si>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</si>
  <si>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</si>
  <si>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</si>
  <si>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</si>
  <si>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</si>
  <si>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</si>
  <si>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</si>
  <si>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</si>
  <si>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</si>
  <si>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</si>
  <si>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</si>
  <si>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</si>
  <si>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</si>
  <si>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</si>
  <si>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</si>
  <si>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</si>
  <si>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</si>
  <si>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</si>
  <si>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</si>
  <si>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</si>
  <si>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</si>
  <si>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</si>
  <si>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</si>
  <si>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</si>
  <si>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</si>
  <si>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</si>
  <si>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</si>
  <si>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</si>
  <si>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</si>
  <si>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</si>
  <si>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</si>
  <si>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</si>
  <si>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</si>
  <si>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</si>
  <si>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</si>
  <si>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</si>
  <si>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</si>
  <si>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</si>
  <si>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</si>
  <si>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</si>
  <si>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</si>
  <si>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</si>
  <si>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</si>
  <si>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</si>
  <si>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</si>
  <si>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</si>
  <si>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</si>
  <si>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</si>
  <si>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</si>
  <si>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</si>
  <si>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</si>
  <si>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</si>
  <si>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</si>
  <si>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</si>
  <si>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</si>
  <si>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</si>
  <si>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</si>
  <si>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</si>
  <si>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</si>
  <si>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</si>
  <si>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</si>
  <si>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</si>
  <si>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</si>
  <si>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</si>
  <si>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</si>
  <si>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</si>
  <si>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</si>
  <si>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</si>
  <si>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</si>
  <si>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</si>
  <si>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</si>
  <si>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</si>
  <si>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</si>
  <si>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</si>
  <si>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</si>
  <si>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</si>
  <si>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</si>
  <si>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</si>
  <si>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</si>
  <si>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</si>
  <si>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</si>
  <si>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</si>
  <si>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</si>
  <si>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</si>
  <si>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</si>
  <si>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</si>
  <si>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</si>
  <si>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</si>
  <si>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</si>
  <si>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</si>
  <si>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</si>
  <si>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</si>
  <si>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</si>
  <si>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</si>
  <si>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</si>
  <si>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</si>
  <si>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</si>
  <si>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</si>
  <si>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</si>
  <si>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</si>
  <si>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</si>
  <si>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</si>
  <si>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</si>
  <si>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</si>
  <si>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</si>
  <si>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</si>
  <si>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</si>
  <si>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</si>
  <si>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</si>
  <si>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</si>
  <si>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</si>
  <si>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</si>
  <si>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</si>
  <si>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</si>
  <si>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</si>
  <si>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</si>
  <si>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</si>
  <si>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</si>
  <si>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</si>
  <si>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</si>
  <si>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</si>
  <si>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</si>
  <si>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</si>
  <si>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</si>
  <si>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</si>
  <si>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</si>
  <si>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</si>
  <si>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</si>
  <si>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</si>
  <si>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</si>
  <si>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</si>
  <si>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</si>
  <si>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</si>
  <si>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</si>
  <si>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</si>
  <si>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</si>
  <si>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</si>
  <si>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</si>
  <si>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</si>
  <si>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</si>
  <si>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</si>
  <si>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</si>
  <si>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</si>
  <si>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</si>
  <si>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</si>
  <si>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</si>
  <si>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</si>
  <si>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</si>
  <si>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</si>
  <si>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</si>
  <si>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</si>
  <si>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</si>
  <si>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</si>
  <si>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</si>
  <si>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</si>
  <si>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</si>
  <si>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</si>
  <si>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</si>
  <si>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</si>
  <si>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</si>
  <si>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</si>
  <si>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</si>
  <si>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</si>
  <si>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</si>
  <si>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</si>
  <si>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</si>
  <si>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</si>
  <si>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</si>
  <si>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</si>
  <si>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</si>
  <si>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</si>
  <si>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</si>
  <si>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</si>
  <si>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</si>
  <si>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</si>
  <si>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</si>
  <si>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</si>
  <si>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</si>
  <si>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</si>
  <si>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</si>
  <si>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</si>
  <si>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</si>
  <si>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</si>
  <si>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</si>
  <si>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</si>
  <si>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</si>
  <si>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</si>
  <si>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</si>
  <si>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</si>
  <si>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</si>
  <si>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</si>
  <si>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</si>
  <si>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</si>
  <si>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</si>
  <si>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</si>
  <si>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</si>
  <si>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</si>
  <si>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</si>
  <si>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</si>
  <si>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</si>
  <si>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</si>
  <si>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</si>
  <si>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</si>
  <si>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</si>
  <si>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</si>
  <si>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</si>
  <si>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</si>
  <si>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</si>
  <si>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</si>
  <si>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</si>
  <si>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</si>
  <si>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</si>
  <si>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</si>
  <si>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</si>
  <si>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</si>
  <si>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</si>
  <si>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</si>
  <si>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</si>
  <si>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</si>
  <si>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</si>
  <si>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</si>
  <si>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</si>
  <si>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</si>
  <si>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</si>
  <si>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</si>
  <si>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</si>
  <si>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</si>
  <si>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</si>
  <si>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</si>
  <si>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</si>
  <si>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</si>
  <si>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</si>
  <si>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</si>
  <si>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</si>
  <si>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</si>
  <si>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</si>
  <si>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</si>
  <si>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</si>
  <si>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</si>
  <si>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</si>
  <si>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</si>
  <si>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</si>
  <si>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</si>
  <si>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</si>
  <si>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</si>
  <si>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</si>
  <si>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</si>
  <si>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</si>
  <si>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</si>
  <si>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</si>
  <si>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</si>
  <si>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</si>
  <si>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</si>
  <si>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</si>
  <si>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</si>
  <si>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</si>
  <si>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</si>
  <si>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</si>
  <si>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</si>
  <si>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</si>
  <si>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</si>
  <si>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</si>
  <si>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</si>
  <si>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</si>
  <si>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</si>
  <si>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</si>
  <si>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</si>
  <si>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</si>
  <si>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</si>
  <si>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</si>
  <si>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</si>
  <si>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</si>
  <si>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</si>
  <si>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</si>
  <si>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</si>
  <si>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</si>
  <si>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</si>
  <si>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</si>
  <si>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</si>
  <si>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</si>
  <si>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</si>
  <si>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</si>
  <si>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</si>
  <si>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</si>
  <si>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</si>
  <si>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</si>
  <si>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</si>
  <si>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</si>
  <si>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</si>
  <si>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</si>
  <si>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</si>
  <si>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</si>
  <si>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</si>
  <si>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</si>
  <si>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</si>
  <si>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</si>
  <si>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</si>
  <si>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</si>
  <si>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</si>
  <si>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</si>
  <si>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</si>
  <si>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</si>
  <si>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</si>
  <si>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</si>
  <si>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</si>
  <si>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</si>
  <si>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</si>
  <si>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</si>
  <si>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</si>
  <si>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</si>
  <si>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</si>
  <si>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</si>
  <si>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</si>
  <si>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</si>
  <si>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</si>
  <si>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</si>
  <si>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</si>
  <si>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</si>
  <si>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</si>
  <si>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</si>
  <si>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</si>
  <si>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</si>
  <si>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</si>
  <si>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</si>
  <si>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</si>
  <si>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</si>
  <si>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</si>
  <si>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</si>
  <si>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</si>
  <si>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</si>
  <si>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</si>
  <si>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</si>
  <si>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</si>
  <si>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</si>
  <si>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</si>
  <si>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</si>
  <si>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</si>
  <si>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</si>
  <si>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</si>
  <si>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</si>
  <si>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</si>
  <si>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</si>
  <si>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</si>
  <si>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</si>
  <si>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</si>
  <si>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</si>
  <si>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</si>
  <si>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</si>
  <si>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</si>
  <si>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</si>
  <si>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</si>
  <si>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</si>
  <si>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</si>
  <si>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</si>
  <si>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</si>
  <si>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</si>
  <si>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</si>
  <si>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</si>
  <si>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</si>
  <si>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</si>
  <si>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</si>
  <si>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</si>
  <si>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</si>
  <si>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</si>
  <si>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</si>
  <si>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</si>
  <si>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</si>
  <si>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</si>
  <si>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</si>
  <si>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</si>
  <si>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</si>
  <si>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</si>
  <si>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</si>
  <si>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</si>
  <si>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</si>
  <si>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</si>
  <si>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</si>
  <si>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</si>
  <si>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</si>
  <si>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</si>
  <si>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</si>
  <si>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</si>
  <si>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</si>
  <si>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</si>
  <si>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</si>
  <si>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</si>
  <si>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</si>
  <si>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</si>
  <si>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</si>
  <si>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</si>
  <si>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</si>
  <si>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</si>
  <si>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</si>
  <si>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</si>
  <si>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</si>
  <si>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</si>
  <si>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</si>
  <si>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</si>
  <si>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</si>
  <si>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</si>
  <si>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</si>
  <si>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</si>
  <si>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</si>
  <si>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</si>
  <si>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</si>
  <si>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</si>
  <si>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</si>
  <si>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</si>
  <si>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</si>
  <si>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</si>
  <si>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</si>
  <si>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</si>
  <si>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</si>
  <si>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</si>
  <si>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</si>
  <si>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</si>
  <si>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</si>
  <si>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</si>
  <si>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</si>
  <si>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</si>
  <si>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</si>
  <si>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</si>
  <si>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</si>
  <si>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</si>
  <si>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</si>
  <si>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</si>
  <si>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</si>
  <si>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</si>
  <si>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</si>
  <si>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</si>
  <si>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</si>
  <si>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</si>
  <si>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</si>
  <si>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</si>
  <si>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</si>
  <si>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</si>
  <si>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</si>
  <si>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</si>
  <si>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</si>
  <si>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</si>
  <si>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</si>
  <si>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</si>
  <si>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</si>
  <si>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</si>
  <si>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</si>
  <si>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</si>
  <si>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</si>
  <si>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</si>
  <si>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</si>
  <si>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</si>
  <si>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</si>
  <si>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</si>
  <si>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</si>
  <si>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</si>
  <si>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</si>
  <si>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</si>
  <si>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</si>
  <si>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</si>
  <si>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</si>
  <si>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</si>
  <si>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</si>
  <si>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</si>
  <si>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</si>
  <si>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</si>
  <si>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</si>
  <si>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</si>
  <si>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</si>
  <si>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</si>
  <si>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</si>
  <si>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</si>
  <si>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</si>
  <si>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</si>
  <si>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</si>
  <si>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</si>
  <si>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</si>
  <si>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</si>
  <si>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</si>
  <si>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</si>
  <si>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</si>
  <si>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</si>
  <si>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</si>
  <si>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</si>
  <si>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</si>
  <si>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</si>
  <si>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</si>
  <si>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</si>
  <si>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</si>
  <si>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</si>
  <si>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</si>
  <si>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</si>
  <si>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</si>
  <si>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</si>
  <si>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</si>
  <si>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</si>
  <si>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</si>
  <si>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</si>
  <si>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</si>
  <si>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</si>
  <si>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</si>
  <si>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</si>
  <si>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</si>
  <si>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</si>
  <si>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</si>
  <si>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</si>
  <si>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</si>
  <si>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</si>
  <si>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</si>
  <si>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</si>
  <si>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</si>
  <si>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</si>
  <si>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</si>
  <si>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</si>
  <si>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</si>
  <si>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</si>
  <si>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</si>
  <si>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</si>
  <si>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</si>
  <si>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</si>
  <si>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</si>
  <si>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</si>
  <si>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</si>
  <si>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</si>
  <si>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</si>
  <si>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</si>
  <si>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</si>
  <si>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</si>
  <si>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</si>
  <si>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</si>
  <si>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</si>
  <si>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</si>
  <si>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</si>
  <si>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</si>
  <si>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</si>
  <si>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</si>
  <si>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</si>
  <si>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</si>
  <si>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</si>
  <si>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</si>
  <si>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</si>
  <si>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</si>
  <si>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</si>
  <si>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</si>
  <si>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</si>
  <si>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</si>
  <si>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</si>
  <si>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</si>
  <si>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</si>
  <si>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</si>
  <si>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</si>
  <si>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</si>
  <si>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</si>
  <si>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</si>
  <si>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</si>
  <si>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</si>
  <si>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</si>
  <si>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</si>
  <si>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</si>
  <si>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</si>
  <si>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</si>
  <si>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</si>
  <si>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</si>
  <si>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</si>
  <si>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</si>
  <si>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</si>
  <si>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</si>
  <si>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</si>
  <si>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</si>
  <si>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</si>
  <si>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</si>
  <si>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</si>
  <si>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</si>
  <si>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</si>
  <si>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</si>
  <si>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</si>
  <si>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</si>
  <si>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</si>
  <si>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</si>
  <si>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</si>
  <si>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</si>
  <si>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</si>
  <si>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</si>
  <si>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</si>
  <si>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</si>
  <si>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</si>
  <si>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</si>
  <si>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</si>
  <si>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</si>
  <si>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</si>
  <si>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</si>
  <si>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</si>
  <si>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</si>
  <si>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</si>
  <si>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</si>
  <si>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</si>
  <si>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</si>
  <si>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</si>
  <si>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</si>
  <si>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</si>
  <si>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</si>
  <si>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</si>
  <si>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</si>
  <si>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</si>
  <si>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</si>
  <si>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</si>
  <si>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</si>
  <si>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</si>
  <si>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</si>
  <si>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</si>
  <si>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</si>
  <si>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</si>
  <si>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</si>
  <si>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</si>
  <si>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</si>
  <si>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</si>
  <si>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</si>
  <si>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</si>
  <si>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</si>
  <si>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</si>
  <si>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</si>
  <si>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</si>
  <si>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</si>
  <si>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</si>
  <si>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</si>
  <si>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</si>
  <si>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</si>
  <si>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</si>
  <si>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</si>
  <si>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</si>
  <si>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</si>
  <si>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</si>
  <si>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</si>
  <si>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</si>
  <si>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</si>
  <si>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</si>
  <si>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</si>
  <si>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</si>
  <si>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</si>
  <si>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</si>
  <si>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</si>
  <si>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</si>
  <si>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</si>
  <si>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</si>
  <si>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</si>
  <si>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</si>
  <si>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</si>
  <si>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</si>
  <si>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</si>
  <si>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</si>
  <si>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</si>
  <si>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</si>
  <si>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</si>
  <si>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</si>
  <si>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</si>
  <si>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</si>
  <si>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</si>
  <si>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</si>
  <si>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</si>
  <si>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</si>
  <si>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</si>
  <si>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</si>
  <si>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</si>
  <si>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</si>
  <si>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</si>
  <si>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</si>
  <si>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</si>
  <si>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</si>
  <si>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</si>
  <si>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</si>
  <si>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</si>
  <si>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</si>
  <si>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</si>
  <si>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</si>
  <si>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</si>
  <si>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</si>
  <si>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</si>
  <si>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</si>
  <si>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</si>
  <si>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</si>
  <si>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</si>
  <si>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</si>
  <si>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</si>
  <si>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</si>
  <si>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</si>
  <si>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</si>
  <si>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</si>
  <si>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</si>
  <si>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</si>
  <si>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</si>
  <si>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</si>
  <si>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</si>
  <si>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</si>
  <si>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</si>
  <si>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</si>
  <si>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</si>
  <si>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</si>
  <si>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</si>
  <si>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</si>
  <si>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</si>
  <si>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</si>
  <si>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</si>
  <si>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</si>
  <si>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</si>
  <si>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</si>
  <si>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</si>
  <si>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</si>
  <si>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</si>
  <si>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</si>
  <si>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</si>
  <si>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</si>
  <si>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</si>
  <si>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</si>
  <si>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</si>
  <si>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</si>
  <si>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</si>
  <si>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</si>
  <si>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</si>
  <si>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</si>
  <si>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</si>
  <si>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</si>
  <si>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</si>
  <si>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</si>
  <si>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</si>
  <si>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</si>
  <si>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</si>
  <si>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</si>
  <si>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</si>
  <si>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</si>
  <si>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</si>
  <si>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</si>
  <si>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</si>
  <si>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</si>
  <si>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</si>
  <si>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</si>
  <si>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</si>
  <si>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</si>
  <si>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</si>
  <si>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</si>
  <si>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</si>
  <si>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</si>
  <si>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</si>
  <si>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</si>
  <si>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</si>
  <si>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</si>
  <si>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</si>
  <si>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</si>
  <si>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</si>
  <si>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</si>
  <si>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</si>
  <si>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</si>
  <si>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</si>
  <si>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</si>
  <si>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</si>
  <si>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</si>
  <si>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</si>
  <si>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</si>
  <si>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</si>
  <si>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</si>
  <si>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</si>
  <si>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</si>
  <si>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</si>
  <si>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</si>
  <si>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</si>
  <si>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</si>
  <si>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</si>
  <si>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</si>
  <si>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</si>
  <si>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</si>
  <si>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</si>
  <si>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</si>
  <si>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</si>
  <si>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</si>
  <si>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</si>
  <si>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</si>
  <si>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</si>
  <si>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</si>
  <si>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</si>
  <si>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</si>
  <si>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</si>
  <si>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</si>
  <si>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</si>
  <si>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</si>
  <si>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</si>
  <si>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</si>
  <si>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</si>
  <si>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</si>
  <si>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</si>
  <si>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</si>
  <si>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</si>
  <si>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</si>
  <si>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</si>
  <si>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</si>
  <si>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</si>
  <si>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</si>
  <si>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</si>
  <si>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</si>
  <si>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</si>
  <si>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</si>
  <si>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</si>
  <si>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</si>
  <si>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</si>
  <si>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</si>
  <si>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</si>
  <si>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</si>
  <si>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</si>
  <si>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</si>
  <si>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</si>
  <si>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</si>
  <si>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</si>
  <si>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</si>
  <si>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</si>
  <si>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</si>
  <si>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</si>
  <si>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</si>
  <si>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</si>
  <si>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</si>
  <si>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</si>
  <si>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</si>
  <si>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</si>
  <si>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</si>
  <si>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</si>
  <si>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</si>
  <si>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</si>
  <si>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</si>
  <si>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</si>
  <si>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</si>
  <si>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</si>
  <si>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</si>
  <si>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</si>
  <si>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</si>
  <si>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</si>
  <si>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</si>
  <si>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</si>
  <si>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</si>
  <si>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</si>
  <si>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</si>
  <si>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</si>
  <si>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</si>
  <si>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</si>
  <si>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</si>
  <si>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</si>
  <si>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</si>
  <si>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</si>
  <si>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</si>
  <si>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</si>
  <si>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</si>
  <si>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</si>
  <si>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</si>
  <si>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</si>
  <si>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</si>
  <si>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</si>
  <si>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</si>
  <si>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</si>
  <si>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</si>
  <si>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</si>
  <si>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</si>
  <si>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</si>
  <si>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</si>
  <si>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</si>
  <si>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</si>
  <si>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</si>
  <si>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</si>
  <si>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</si>
  <si>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</si>
  <si>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</si>
  <si>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</si>
  <si>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</si>
  <si>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</si>
  <si>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</si>
  <si>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</si>
  <si>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</si>
  <si>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</si>
  <si>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</si>
  <si>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</si>
  <si>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</si>
  <si>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</si>
  <si>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</si>
  <si>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</si>
  <si>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</si>
  <si>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</si>
  <si>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</si>
  <si>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</si>
  <si>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</si>
  <si>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</si>
  <si>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</si>
  <si>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</si>
  <si>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</si>
  <si>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</si>
  <si>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</si>
  <si>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</si>
  <si>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</si>
  <si>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</si>
  <si>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</si>
  <si>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</si>
  <si>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</si>
  <si>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</si>
  <si>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</si>
  <si>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</si>
  <si>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</si>
  <si>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</si>
  <si>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</si>
  <si>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</si>
  <si>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</si>
  <si>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</si>
  <si>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</si>
  <si>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</si>
  <si>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</si>
  <si>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</si>
  <si>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</si>
  <si>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</si>
  <si>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</si>
  <si>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</si>
  <si>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</si>
  <si>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</si>
  <si>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</si>
  <si>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</si>
  <si>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</si>
  <si>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</si>
  <si>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</si>
  <si>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</si>
  <si>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</si>
  <si>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</si>
  <si>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</si>
  <si>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</si>
  <si>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</si>
  <si>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</si>
  <si>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</si>
  <si>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</si>
  <si>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</si>
  <si>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</si>
  <si>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</si>
  <si>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</si>
  <si>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</si>
  <si>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</si>
  <si>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</si>
  <si>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</si>
  <si>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</si>
  <si>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</si>
  <si>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</si>
  <si>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</si>
  <si>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</si>
  <si>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</si>
  <si>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</si>
  <si>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</si>
  <si>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</si>
  <si>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</si>
  <si>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</si>
  <si>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</si>
  <si>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</si>
  <si>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</si>
  <si>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</si>
  <si>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</si>
  <si>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</si>
  <si>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</si>
  <si>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</si>
  <si>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</si>
  <si>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</si>
  <si>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</si>
  <si>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</si>
  <si>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</si>
  <si>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</si>
  <si>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</si>
  <si>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</si>
  <si>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</si>
  <si>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</si>
  <si>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</si>
  <si>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</si>
  <si>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</si>
  <si>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</si>
  <si>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</si>
  <si>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</si>
  <si>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</si>
  <si>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</si>
  <si>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</si>
  <si>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</si>
  <si>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</si>
  <si>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</si>
  <si>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</si>
  <si>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</si>
  <si>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</si>
  <si>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</si>
  <si>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</si>
  <si>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</si>
  <si>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</si>
  <si>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</si>
  <si>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</si>
  <si>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</si>
  <si>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</si>
  <si>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</si>
  <si>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</si>
  <si>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</si>
  <si>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</si>
  <si>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</si>
  <si>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</si>
  <si>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</si>
  <si>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</si>
  <si>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</si>
  <si>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</si>
  <si>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</si>
  <si>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</si>
  <si>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</si>
  <si>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</si>
  <si>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</si>
  <si>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</si>
  <si>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</si>
  <si>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</si>
  <si>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</si>
  <si>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</si>
  <si>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</si>
  <si>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</si>
  <si>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</si>
  <si>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</si>
  <si>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</si>
  <si>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</si>
  <si>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</si>
  <si>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</si>
  <si>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</si>
  <si>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</si>
  <si>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</si>
  <si>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</si>
  <si>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</si>
  <si>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</si>
  <si>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</si>
  <si>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</si>
  <si>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</si>
  <si>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</si>
  <si>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</si>
  <si>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</si>
  <si>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</si>
  <si>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</si>
  <si>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</si>
  <si>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</si>
  <si>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</si>
  <si>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</si>
  <si>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</si>
  <si>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</si>
  <si>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</si>
  <si>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</si>
  <si>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</si>
  <si>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</si>
  <si>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</si>
  <si>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</si>
  <si>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</si>
  <si>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</si>
  <si>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</si>
  <si>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</si>
  <si>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</si>
  <si>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</si>
  <si>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</si>
  <si>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</si>
  <si>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</si>
  <si>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</si>
  <si>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</si>
  <si>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</si>
  <si>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</si>
  <si>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</si>
  <si>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</si>
  <si>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</si>
  <si>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</si>
  <si>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</si>
  <si>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</si>
  <si>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</si>
  <si>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</si>
  <si>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</si>
  <si>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</si>
  <si>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</si>
  <si>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</si>
  <si>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</si>
  <si>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</si>
  <si>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</si>
  <si>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</si>
  <si>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</si>
  <si>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</si>
  <si>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</si>
  <si>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</si>
  <si>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</si>
  <si>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</si>
  <si>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</si>
  <si>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</si>
  <si>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</si>
  <si>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</si>
  <si>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</si>
  <si>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</si>
  <si>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</si>
  <si>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</si>
  <si>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</si>
  <si>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</si>
  <si>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</si>
  <si>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</si>
  <si>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</si>
  <si>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</si>
  <si>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</si>
  <si>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</si>
  <si>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</si>
  <si>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</si>
  <si>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</si>
  <si>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</si>
  <si>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</si>
  <si>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</si>
  <si>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</si>
  <si>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</si>
  <si>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</si>
  <si>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</si>
  <si>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</si>
  <si>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</si>
  <si>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</si>
  <si>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</si>
  <si>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</si>
  <si>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</si>
  <si>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</si>
  <si>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</si>
  <si>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</si>
  <si>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</si>
  <si>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</si>
  <si>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</si>
  <si>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</si>
  <si>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</si>
  <si>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</si>
  <si>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</si>
  <si>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</si>
  <si>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</si>
  <si>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</si>
  <si>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</si>
  <si>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</si>
  <si>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</si>
  <si>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</si>
  <si>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</si>
  <si>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</si>
  <si>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</si>
  <si>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</si>
  <si>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</si>
  <si>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</si>
  <si>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</si>
  <si>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</si>
  <si>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</si>
  <si>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</si>
  <si>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</si>
  <si>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</si>
  <si>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</si>
  <si>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</si>
  <si>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</si>
  <si>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</si>
  <si>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</si>
  <si>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</si>
  <si>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</si>
  <si>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</si>
  <si>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</si>
  <si>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</si>
  <si>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</si>
  <si>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</si>
  <si>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</si>
  <si>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</si>
  <si>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</si>
  <si>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</si>
  <si>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</si>
  <si>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</si>
  <si>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</si>
  <si>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</si>
  <si>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</si>
  <si>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</si>
  <si>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</si>
  <si>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</si>
  <si>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</si>
  <si>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</si>
  <si>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</si>
  <si>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</si>
  <si>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</si>
  <si>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</si>
  <si>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</si>
  <si>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</si>
  <si>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</si>
  <si>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</si>
  <si>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</si>
  <si>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</si>
  <si>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</si>
  <si>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</si>
  <si>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</si>
  <si>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</si>
  <si>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</si>
  <si>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</si>
  <si>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</si>
  <si>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</si>
  <si>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</si>
  <si>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</si>
  <si>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</si>
  <si>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</si>
  <si>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</si>
  <si>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</si>
  <si>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</si>
  <si>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</si>
  <si>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</si>
  <si>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</si>
  <si>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</si>
  <si>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</si>
  <si>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</si>
  <si>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</si>
  <si>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</si>
  <si>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</si>
  <si>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</si>
  <si>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</si>
  <si>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</si>
  <si>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</si>
  <si>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</si>
  <si>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</si>
  <si>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</si>
  <si>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</si>
  <si>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</si>
  <si>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</si>
  <si>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</si>
  <si>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</si>
  <si>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</si>
  <si>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</si>
  <si>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</si>
  <si>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</si>
  <si>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</si>
  <si>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</si>
  <si>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</si>
  <si>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</si>
  <si>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</si>
  <si>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</si>
  <si>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</si>
  <si>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</si>
  <si>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</si>
  <si>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</si>
  <si>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</si>
  <si>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</si>
  <si>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</si>
  <si>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</si>
  <si>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</si>
  <si>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</si>
  <si>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</si>
  <si>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</si>
  <si>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</si>
  <si>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</si>
  <si>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</si>
  <si>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</si>
  <si>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</si>
  <si>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</si>
  <si>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</si>
  <si>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</si>
  <si>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</si>
  <si>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</si>
  <si>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</si>
  <si>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</si>
  <si>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</si>
  <si>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</si>
  <si>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</si>
  <si>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</si>
  <si>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</si>
  <si>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</si>
  <si>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</si>
  <si>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</si>
  <si>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</si>
  <si>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</si>
  <si>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</si>
  <si>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</si>
  <si>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</si>
  <si>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</si>
  <si>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</si>
  <si>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</si>
  <si>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</si>
  <si>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</si>
  <si>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</si>
  <si>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</si>
  <si>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</si>
  <si>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</si>
  <si>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</si>
  <si>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</si>
  <si>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</si>
  <si>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</si>
  <si>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</si>
  <si>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</si>
  <si>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</si>
  <si>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</si>
  <si>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</si>
  <si>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</si>
  <si>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</si>
  <si>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</si>
  <si>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</si>
  <si>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</si>
  <si>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</si>
  <si>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</si>
  <si>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</si>
  <si>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</si>
  <si>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</si>
  <si>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</si>
  <si>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</si>
  <si>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</si>
  <si>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</si>
  <si>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</si>
  <si>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</si>
  <si>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</si>
  <si>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</si>
  <si>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</si>
  <si>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</si>
  <si>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</si>
  <si>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</si>
  <si>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</si>
  <si>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</si>
  <si>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</si>
  <si>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</si>
  <si>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</si>
  <si>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</si>
  <si>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</si>
  <si>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</si>
  <si>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</si>
  <si>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</si>
  <si>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</si>
  <si>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</si>
  <si>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</si>
  <si>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</si>
  <si>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</si>
  <si>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</si>
  <si>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</si>
  <si>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</si>
  <si>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</si>
  <si>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</si>
  <si>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</si>
  <si>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</si>
  <si>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</si>
  <si>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</si>
  <si>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</si>
  <si>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</si>
  <si>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</si>
  <si>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</si>
  <si>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</si>
  <si>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</si>
  <si>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</si>
  <si>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</si>
  <si>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</si>
  <si>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</si>
  <si>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</si>
  <si>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</si>
  <si>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</si>
  <si>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</si>
  <si>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</si>
  <si>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</si>
  <si>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</si>
  <si>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</si>
  <si>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</si>
  <si>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</si>
  <si>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</si>
  <si>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</si>
  <si>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</si>
  <si>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</si>
  <si>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</si>
  <si>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</si>
  <si>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</si>
  <si>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</si>
  <si>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</si>
  <si>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</si>
  <si>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</si>
  <si>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</si>
  <si>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</si>
  <si>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</si>
  <si>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</si>
  <si>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</si>
  <si>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</si>
  <si>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</si>
  <si>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</si>
  <si>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</si>
  <si>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</si>
  <si>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</si>
  <si>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</si>
  <si>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</si>
  <si>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</si>
  <si>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</si>
  <si>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</si>
  <si>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</si>
  <si>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</si>
  <si>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</si>
  <si>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</si>
  <si>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</si>
  <si>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</si>
  <si>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</si>
  <si>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</si>
  <si>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</si>
  <si>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</si>
  <si>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</si>
  <si>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</si>
  <si>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</si>
  <si>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</si>
  <si>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</si>
  <si>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</si>
  <si>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</si>
  <si>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</si>
  <si>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</si>
  <si>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</si>
  <si>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</si>
  <si>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</si>
  <si>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</si>
  <si>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</si>
  <si>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</si>
  <si>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</si>
  <si>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</si>
  <si>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</si>
  <si>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</si>
  <si>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</si>
  <si>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</si>
  <si>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</si>
  <si>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</si>
  <si>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</si>
  <si>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</si>
  <si>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</si>
  <si>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</si>
  <si>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</si>
  <si>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</si>
  <si>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</si>
  <si>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</si>
  <si>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</si>
  <si>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</si>
  <si>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</si>
  <si>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</si>
  <si>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</si>
  <si>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</si>
  <si>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</si>
  <si>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</si>
  <si>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</si>
  <si>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</si>
  <si>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</si>
  <si>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</si>
  <si>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</si>
  <si>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</si>
  <si>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</si>
  <si>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</si>
  <si>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</si>
  <si>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</si>
  <si>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</si>
  <si>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</si>
  <si>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</si>
  <si>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</si>
  <si>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</si>
  <si>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</si>
  <si>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</si>
  <si>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</si>
  <si>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</si>
  <si>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</si>
  <si>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</si>
  <si>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</si>
  <si>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</si>
  <si>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</si>
  <si>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</si>
  <si>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</si>
  <si>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</si>
  <si>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</si>
  <si>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</si>
  <si>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</si>
  <si>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</si>
  <si>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</si>
  <si>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</si>
  <si>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</si>
  <si>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</si>
  <si>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</si>
  <si>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</si>
  <si>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</si>
  <si>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</si>
  <si>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</si>
  <si>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</si>
  <si>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</si>
  <si>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</si>
  <si>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</si>
  <si>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</si>
  <si>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</si>
  <si>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</si>
  <si>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</si>
  <si>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</si>
  <si>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</si>
  <si>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</si>
  <si>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</si>
  <si>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</si>
  <si>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</si>
  <si>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</si>
  <si>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</si>
  <si>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</si>
  <si>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</si>
  <si>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</si>
  <si>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</si>
  <si>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</si>
  <si>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</si>
  <si>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</si>
  <si>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</si>
  <si>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</si>
  <si>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</si>
  <si>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</si>
  <si>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</si>
  <si>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</si>
  <si>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</si>
  <si>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</si>
  <si>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</si>
  <si>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</si>
  <si>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</si>
  <si>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</si>
  <si>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</si>
  <si>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</si>
  <si>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</si>
  <si>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</si>
  <si>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</si>
  <si>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</si>
  <si>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</si>
  <si>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</si>
  <si>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</si>
  <si>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</si>
  <si>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</si>
  <si>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</si>
  <si>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</si>
  <si>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</si>
  <si>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</si>
  <si>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</si>
  <si>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</si>
  <si>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</si>
  <si>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</si>
  <si>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</si>
  <si>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</si>
  <si>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</si>
  <si>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</si>
  <si>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</si>
  <si>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</si>
  <si>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</si>
  <si>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</si>
  <si>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</si>
  <si>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</si>
  <si>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</si>
  <si>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</si>
  <si>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</si>
  <si>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</si>
  <si>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</si>
  <si>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</si>
  <si>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</si>
  <si>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</si>
  <si>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</si>
  <si>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</si>
  <si>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</si>
  <si>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</si>
  <si>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</si>
  <si>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</si>
  <si>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</si>
  <si>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</si>
  <si>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</si>
  <si>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</si>
  <si>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</si>
  <si>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</si>
  <si>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</si>
  <si>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</si>
  <si>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</si>
  <si>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</si>
  <si>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</si>
  <si>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</si>
  <si>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</si>
  <si>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</si>
  <si>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</si>
  <si>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</si>
  <si>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</si>
  <si>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</si>
  <si>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</si>
  <si>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</si>
  <si>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</si>
  <si>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</si>
  <si>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</si>
  <si>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</si>
  <si>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</si>
  <si>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</si>
  <si>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</si>
  <si>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</si>
  <si>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</si>
  <si>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</si>
  <si>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</si>
  <si>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</si>
  <si>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</si>
  <si>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</si>
  <si>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</si>
  <si>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</si>
  <si>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</si>
  <si>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</si>
  <si>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</si>
  <si>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</si>
  <si>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</si>
  <si>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</si>
  <si>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</si>
  <si>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</si>
  <si>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</si>
  <si>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</si>
  <si>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</si>
  <si>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</si>
  <si>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</si>
  <si>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</si>
  <si>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</si>
  <si>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</si>
  <si>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</si>
  <si>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</si>
  <si>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</si>
  <si>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</si>
  <si>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</si>
  <si>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</si>
  <si>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</si>
  <si>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</si>
  <si>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</si>
  <si>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</si>
  <si>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</si>
  <si>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</si>
  <si>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</si>
  <si>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</si>
  <si>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</si>
  <si>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</si>
  <si>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</si>
  <si>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</si>
  <si>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</si>
  <si>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</si>
  <si>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</si>
  <si>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</si>
  <si>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</si>
  <si>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</si>
  <si>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</si>
  <si>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</si>
  <si>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</si>
  <si>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</si>
  <si>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</si>
  <si>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</si>
  <si>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</si>
  <si>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</si>
  <si>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</si>
  <si>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</si>
  <si>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</si>
  <si>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</si>
  <si>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</si>
  <si>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</si>
  <si>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</si>
  <si>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</si>
  <si>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</si>
  <si>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</si>
  <si>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</si>
  <si>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</si>
  <si>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</si>
  <si>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</si>
  <si>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</si>
  <si>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</si>
  <si>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</si>
  <si>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</si>
  <si>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</si>
  <si>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</si>
  <si>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</si>
  <si>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</si>
  <si>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</si>
  <si>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</si>
  <si>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</si>
  <si>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</si>
  <si>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</si>
  <si>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</si>
  <si>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</si>
  <si>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</si>
  <si>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</si>
  <si>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</si>
  <si>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</si>
  <si>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</si>
  <si>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</si>
  <si>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</si>
  <si>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</si>
  <si>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</si>
  <si>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</si>
  <si>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</si>
  <si>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</si>
  <si>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</si>
  <si>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</si>
  <si>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</si>
  <si>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</si>
  <si>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</si>
  <si>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</si>
  <si>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</si>
  <si>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</si>
  <si>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</si>
  <si>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</si>
  <si>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</si>
  <si>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</si>
  <si>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</si>
  <si>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</si>
  <si>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</si>
  <si>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</si>
  <si>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</si>
  <si>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</si>
  <si>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</si>
  <si>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</si>
  <si>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</si>
  <si>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</si>
  <si>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</si>
  <si>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</si>
  <si>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</si>
  <si>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</si>
  <si>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</si>
  <si>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</si>
  <si>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</si>
  <si>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</si>
  <si>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</si>
  <si>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</si>
  <si>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</si>
  <si>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</si>
  <si>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</si>
  <si>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</si>
  <si>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</si>
  <si>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</si>
  <si>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</si>
  <si>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</si>
  <si>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</si>
  <si>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</si>
  <si>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</si>
  <si>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</si>
  <si>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</si>
  <si>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</si>
  <si>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</si>
  <si>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</si>
  <si>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</si>
  <si>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</si>
  <si>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</si>
  <si>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</si>
  <si>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</si>
  <si>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</si>
  <si>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</si>
  <si>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</si>
  <si>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</si>
  <si>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</si>
  <si>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</si>
  <si>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</si>
  <si>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</si>
  <si>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</si>
  <si>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</si>
  <si>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</si>
  <si>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</si>
  <si>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</si>
  <si>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</si>
  <si>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</si>
  <si>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</si>
  <si>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</si>
  <si>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</si>
  <si>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</si>
  <si>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</si>
  <si>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</si>
  <si>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</si>
  <si>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</si>
  <si>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</si>
  <si>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</si>
  <si>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</si>
  <si>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</si>
  <si>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</si>
  <si>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</si>
  <si>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</si>
  <si>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</si>
  <si>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</si>
  <si>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</si>
  <si>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</si>
  <si>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</si>
  <si>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</si>
  <si>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</si>
  <si>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</si>
  <si>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</si>
  <si>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</si>
  <si>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</si>
  <si>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</si>
  <si>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</si>
  <si>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</si>
  <si>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</si>
  <si>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</si>
  <si>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</si>
  <si>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</si>
  <si>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</si>
  <si>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</si>
  <si>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</si>
  <si>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</si>
  <si>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</si>
  <si>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</si>
  <si>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</si>
  <si>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</si>
  <si>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</si>
  <si>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</si>
  <si>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</si>
  <si>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</si>
  <si>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</si>
  <si>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</si>
  <si>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</si>
  <si>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</si>
  <si>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</si>
  <si>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</si>
  <si>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</si>
  <si>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</si>
  <si>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</si>
  <si>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</si>
  <si>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</si>
  <si>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</si>
  <si>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</si>
  <si>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</si>
  <si>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</si>
  <si>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</si>
  <si>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</si>
  <si>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</si>
  <si>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</si>
  <si>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</si>
  <si>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</si>
  <si>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</si>
  <si>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</si>
  <si>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</si>
  <si>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</si>
  <si>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</si>
  <si>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</si>
  <si>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</si>
  <si>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</si>
  <si>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</si>
  <si>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</si>
  <si>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</si>
  <si>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</si>
  <si>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</si>
  <si>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</si>
  <si>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</si>
  <si>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</si>
  <si>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</si>
  <si>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</si>
  <si>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</si>
  <si>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</si>
  <si>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</si>
  <si>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</si>
  <si>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</si>
  <si>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</si>
  <si>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</si>
  <si>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</si>
  <si>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</si>
  <si>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</si>
  <si>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</si>
  <si>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</si>
  <si>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</si>
  <si>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</si>
  <si>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</si>
  <si>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</si>
  <si>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</si>
  <si>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</si>
  <si>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</si>
  <si>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</si>
  <si>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</si>
  <si>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</si>
  <si>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</si>
  <si>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</si>
  <si>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</si>
  <si>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</si>
  <si>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</si>
  <si>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</si>
  <si>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</si>
  <si>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</si>
  <si>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</si>
  <si>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</si>
  <si>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</si>
  <si>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</si>
  <si>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</si>
  <si>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</si>
  <si>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</si>
  <si>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</si>
  <si>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</si>
  <si>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</si>
  <si>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</si>
  <si>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</si>
  <si>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</si>
  <si>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</si>
  <si>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</si>
  <si>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</si>
  <si>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</si>
  <si>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</si>
  <si>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</si>
  <si>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</si>
  <si>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</si>
  <si>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</si>
  <si>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</si>
  <si>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</si>
  <si>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</si>
  <si>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</si>
  <si>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</si>
  <si>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</si>
  <si>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</si>
  <si>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</si>
  <si>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</si>
  <si>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</si>
  <si>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</si>
  <si>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</si>
  <si>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</si>
  <si>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</si>
  <si>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</si>
  <si>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</si>
  <si>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</si>
  <si>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</si>
  <si>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</si>
  <si>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</si>
  <si>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</si>
  <si>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</si>
  <si>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</si>
  <si>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</si>
  <si>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</si>
  <si>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</si>
  <si>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</si>
  <si>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</si>
  <si>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</si>
  <si>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</si>
  <si>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</si>
  <si>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</si>
  <si>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</si>
  <si>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</si>
  <si>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</si>
  <si>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</si>
  <si>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</si>
  <si>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</si>
  <si>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</si>
  <si>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</si>
  <si>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</si>
  <si>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</si>
  <si>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</si>
  <si>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</si>
  <si>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</si>
  <si>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</si>
  <si>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</si>
  <si>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</si>
  <si>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</si>
  <si>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</si>
  <si>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</si>
  <si>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</si>
  <si>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</si>
  <si>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</si>
  <si>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</si>
  <si>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</si>
  <si>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</si>
  <si>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</si>
  <si>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</si>
  <si>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</si>
  <si>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</si>
  <si>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</si>
  <si>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</si>
  <si>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</si>
  <si>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</si>
  <si>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</si>
  <si>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</si>
  <si>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</si>
  <si>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</si>
  <si>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</si>
  <si>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</si>
  <si>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</si>
  <si>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</si>
  <si>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</si>
  <si>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</si>
  <si>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</si>
  <si>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</si>
  <si>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</si>
  <si>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</si>
  <si>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</si>
  <si>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</si>
  <si>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</si>
  <si>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</si>
  <si>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</si>
  <si>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</si>
  <si>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</si>
  <si>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</si>
  <si>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</si>
  <si>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</si>
  <si>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</si>
  <si>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</si>
  <si>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</si>
  <si>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</si>
  <si>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</si>
  <si>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</si>
  <si>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</si>
  <si>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</si>
  <si>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</si>
  <si>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</si>
  <si>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</si>
  <si>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</si>
  <si>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</si>
  <si>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</si>
  <si>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</si>
  <si>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</si>
  <si>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</si>
  <si>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</si>
  <si>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</si>
  <si>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</si>
  <si>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</si>
  <si>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</si>
  <si>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</si>
  <si>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</si>
  <si>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</si>
  <si>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</si>
  <si>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</si>
  <si>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</si>
  <si>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</si>
  <si>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</si>
  <si>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</si>
  <si>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</si>
  <si>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</si>
  <si>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</si>
  <si>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</si>
  <si>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</si>
  <si>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</si>
  <si>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</si>
  <si>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</si>
  <si>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</si>
  <si>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</si>
  <si>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</si>
  <si>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</si>
  <si>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</si>
  <si>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</si>
  <si>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</si>
  <si>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</si>
  <si>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</si>
  <si>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</si>
  <si>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</si>
  <si>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</si>
  <si>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</si>
  <si>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</si>
  <si>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</si>
  <si>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</si>
  <si>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</si>
  <si>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</si>
  <si>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</si>
  <si>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</si>
  <si>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</si>
  <si>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</si>
  <si>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</si>
  <si>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</si>
  <si>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</si>
  <si>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</si>
  <si>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</si>
  <si>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</si>
  <si>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</si>
  <si>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</si>
  <si>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</si>
  <si>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</si>
  <si>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</si>
  <si>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</si>
  <si>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</si>
  <si>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</si>
  <si>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</si>
  <si>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</si>
  <si>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</si>
  <si>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</si>
  <si>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</si>
  <si>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</si>
  <si>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</si>
  <si>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</si>
  <si>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</si>
  <si>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</si>
  <si>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</si>
  <si>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</si>
  <si>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</si>
  <si>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</si>
  <si>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</si>
  <si>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</si>
  <si>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</si>
  <si>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</si>
  <si>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</si>
  <si>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</si>
  <si>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</si>
  <si>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</si>
  <si>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</si>
  <si>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</si>
  <si>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</si>
  <si>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</si>
  <si>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</si>
  <si>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</si>
  <si>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</si>
  <si>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</si>
  <si>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</si>
  <si>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</si>
  <si>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</si>
  <si>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</si>
  <si>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</si>
  <si>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</si>
  <si>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</si>
  <si>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</si>
  <si>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</si>
  <si>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</si>
  <si>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</si>
  <si>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</si>
  <si>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</si>
  <si>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</si>
  <si>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</si>
  <si>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</si>
  <si>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</si>
  <si>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</si>
  <si>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</si>
  <si>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</si>
  <si>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</si>
  <si>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</si>
  <si>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</si>
  <si>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</si>
  <si>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</si>
  <si>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</si>
  <si>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</si>
  <si>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</si>
  <si>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</si>
  <si>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</si>
  <si>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</si>
  <si>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</si>
  <si>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</si>
  <si>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</si>
  <si>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</si>
  <si>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</si>
  <si>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</si>
  <si>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</si>
  <si>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</si>
  <si>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</si>
  <si>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</si>
  <si>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</si>
  <si>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</si>
  <si>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</si>
  <si>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</si>
  <si>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</si>
  <si>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</si>
  <si>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</si>
  <si>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</si>
  <si>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</si>
  <si>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</si>
  <si>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</si>
  <si>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</si>
  <si>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</si>
  <si>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</si>
  <si>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</si>
  <si>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</si>
  <si>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</si>
  <si>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</si>
  <si>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</si>
  <si>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</si>
  <si>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</si>
  <si>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</si>
  <si>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</si>
  <si>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</si>
  <si>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</si>
  <si>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</si>
  <si>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</si>
  <si>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</si>
  <si>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</si>
  <si>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</si>
  <si>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</si>
  <si>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</si>
  <si>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</si>
  <si>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</si>
  <si>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</si>
  <si>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</si>
  <si>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</si>
  <si>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</si>
  <si>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</si>
  <si>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</si>
  <si>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</si>
  <si>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</si>
  <si>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</si>
  <si>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</si>
  <si>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</si>
  <si>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</si>
  <si>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</si>
  <si>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</si>
  <si>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</si>
  <si>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</si>
  <si>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</si>
  <si>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</si>
  <si>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</si>
  <si>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</si>
  <si>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</si>
  <si>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</si>
  <si>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</si>
  <si>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</si>
  <si>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</si>
  <si>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</si>
  <si>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</si>
  <si>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</si>
  <si>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</si>
  <si>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</si>
  <si>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</si>
  <si>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</si>
  <si>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</si>
  <si>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</si>
  <si>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</si>
  <si>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</si>
  <si>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</si>
  <si>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</si>
  <si>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</si>
  <si>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</si>
  <si>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</si>
  <si>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</si>
  <si>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</si>
  <si>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</si>
  <si>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</si>
  <si>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</si>
  <si>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</si>
  <si>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</si>
  <si>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</si>
  <si>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</si>
  <si>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</si>
  <si>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</si>
  <si>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</si>
  <si>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</si>
  <si>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</si>
  <si>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</si>
  <si>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</si>
  <si>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</si>
  <si>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</si>
  <si>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</si>
  <si>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</si>
  <si>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</si>
  <si>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</si>
  <si>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</si>
  <si>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</si>
  <si>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</si>
  <si>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</si>
  <si>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</si>
  <si>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</si>
  <si>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</si>
  <si>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</si>
  <si>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</si>
  <si>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</si>
  <si>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</si>
  <si>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</si>
  <si>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</si>
  <si>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</si>
  <si>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</si>
  <si>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</si>
  <si>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</si>
  <si>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</si>
  <si>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</si>
  <si>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</si>
  <si>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</si>
  <si>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</si>
  <si>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</si>
  <si>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</si>
  <si>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</si>
  <si>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</si>
  <si>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</si>
  <si>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</si>
  <si>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</si>
  <si>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</si>
  <si>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</si>
  <si>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</si>
  <si>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</si>
  <si>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</si>
  <si>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</si>
  <si>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</si>
  <si>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</si>
  <si>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</si>
  <si>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</si>
  <si>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</si>
  <si>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</si>
  <si>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</si>
  <si>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</si>
  <si>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</si>
  <si>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</si>
  <si>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</si>
  <si>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</si>
  <si>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</si>
  <si>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</si>
  <si>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</si>
  <si>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</si>
  <si>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</si>
  <si>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</si>
  <si>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</si>
  <si>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</si>
  <si>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</si>
  <si>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</si>
  <si>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</si>
  <si>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</si>
  <si>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</si>
  <si>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</si>
  <si>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</si>
  <si>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</si>
  <si>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</si>
  <si>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</si>
  <si>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</si>
  <si>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</si>
  <si>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</si>
  <si>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</si>
  <si>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</si>
  <si>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</si>
  <si>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</si>
  <si>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</si>
  <si>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</si>
  <si>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</si>
  <si>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</si>
  <si>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</si>
  <si>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</si>
  <si>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</si>
  <si>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</si>
  <si>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</si>
  <si>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</si>
  <si>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</si>
  <si>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</si>
  <si>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</si>
  <si>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</si>
  <si>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</si>
  <si>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</si>
  <si>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</si>
  <si>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</si>
  <si>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</si>
  <si>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</si>
  <si>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</si>
  <si>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</si>
  <si>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</si>
  <si>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</si>
  <si>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</si>
  <si>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</si>
  <si>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</si>
  <si>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</si>
  <si>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</si>
  <si>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</si>
  <si>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</si>
  <si>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</si>
  <si>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</si>
  <si>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</si>
  <si>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</si>
  <si>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</si>
  <si>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</si>
  <si>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</si>
  <si>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</si>
  <si>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</si>
  <si>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</si>
  <si>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</si>
  <si>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</si>
  <si>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</si>
  <si>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</si>
  <si>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</si>
  <si>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</si>
  <si>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</si>
  <si>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</si>
  <si>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</si>
  <si>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</si>
  <si>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</si>
  <si>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</si>
  <si>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</si>
  <si>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</si>
  <si>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</si>
  <si>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</si>
  <si>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</si>
  <si>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</si>
  <si>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</si>
  <si>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</si>
  <si>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</si>
  <si>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</si>
  <si>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</si>
  <si>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</si>
  <si>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</si>
  <si>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</si>
  <si>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</si>
  <si>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</si>
  <si>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</si>
  <si>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</si>
  <si>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</si>
  <si>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</si>
  <si>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</si>
  <si>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</si>
  <si>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</si>
  <si>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</si>
  <si>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</si>
  <si>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</si>
  <si>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</si>
  <si>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</si>
  <si>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</si>
  <si>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</si>
  <si>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</si>
  <si>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</si>
  <si>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</si>
  <si>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</si>
  <si>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</si>
  <si>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</si>
  <si>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</si>
  <si>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</si>
  <si>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</si>
  <si>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</si>
  <si>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</si>
  <si>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</si>
  <si>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</si>
  <si>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</si>
  <si>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</si>
  <si>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</si>
  <si>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</si>
  <si>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</si>
  <si>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</si>
  <si>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</si>
  <si>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</si>
  <si>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</si>
  <si>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</si>
  <si>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</si>
  <si>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</si>
  <si>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</si>
  <si>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</si>
  <si>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</si>
  <si>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</si>
  <si>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</si>
  <si>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</si>
  <si>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</si>
  <si>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</si>
  <si>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</si>
  <si>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</si>
  <si>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</si>
  <si>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</si>
  <si>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</si>
  <si>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</si>
  <si>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</si>
  <si>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</si>
  <si>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</si>
  <si>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</si>
  <si>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</si>
  <si>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</si>
  <si>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</si>
  <si>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</si>
  <si>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</si>
  <si>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</si>
  <si>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</si>
  <si>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</si>
  <si>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</si>
  <si>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</si>
  <si>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</si>
  <si>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</si>
  <si>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</si>
  <si>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</si>
  <si>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</si>
  <si>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</si>
  <si>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</si>
  <si>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</si>
  <si>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</si>
  <si>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</si>
  <si>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</si>
  <si>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</si>
  <si>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</si>
  <si>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</si>
  <si>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</si>
  <si>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</si>
  <si>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</si>
  <si>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</si>
  <si>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</si>
  <si>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</si>
  <si>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</si>
  <si>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</si>
  <si>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</si>
  <si>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</si>
  <si>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</si>
  <si>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</si>
  <si>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</si>
  <si>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</si>
  <si>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</si>
  <si>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</si>
  <si>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</si>
  <si>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</si>
  <si>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</si>
  <si>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</si>
  <si>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</si>
  <si>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</si>
  <si>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</si>
  <si>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</si>
  <si>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</si>
  <si>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</si>
  <si>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</si>
  <si>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</si>
  <si>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</si>
  <si>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</si>
  <si>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</si>
  <si>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</si>
  <si>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</si>
  <si>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</si>
  <si>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</si>
  <si>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</si>
  <si>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</si>
  <si>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</si>
  <si>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</si>
  <si>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</si>
  <si>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</si>
  <si>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</si>
  <si>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</si>
  <si>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</si>
  <si>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</si>
  <si>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</si>
  <si>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</si>
  <si>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</si>
  <si>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</si>
  <si>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</si>
  <si>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</si>
  <si>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</si>
  <si>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</si>
  <si>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</si>
  <si>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</si>
  <si>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</si>
  <si>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</si>
  <si>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</si>
  <si>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</si>
  <si>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</si>
  <si>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</si>
  <si>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</si>
  <si>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</si>
  <si>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</si>
  <si>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</si>
  <si>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</si>
  <si>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</si>
  <si>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</si>
  <si>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</si>
  <si>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</si>
  <si>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</si>
  <si>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</si>
  <si>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</si>
  <si>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</si>
  <si>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</si>
  <si>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</si>
  <si>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</si>
  <si>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</si>
  <si>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</si>
  <si>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</si>
  <si>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</si>
  <si>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</si>
  <si>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</si>
  <si>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</si>
  <si>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</si>
  <si>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</si>
  <si>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</si>
  <si>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</si>
  <si>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</si>
  <si>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</si>
  <si>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</si>
  <si>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</si>
  <si>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</si>
  <si>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</si>
  <si>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</si>
  <si>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</si>
  <si>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</si>
  <si>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</si>
  <si>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</si>
  <si>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</si>
  <si>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</si>
  <si>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</si>
  <si>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</si>
  <si>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</si>
  <si>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</si>
  <si>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</si>
  <si>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</si>
  <si>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</si>
  <si>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</si>
  <si>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</si>
  <si>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</si>
  <si>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</si>
  <si>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</si>
  <si>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</si>
  <si>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</si>
  <si>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</si>
  <si>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</si>
  <si>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</si>
  <si>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</si>
  <si>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</si>
  <si>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</si>
  <si>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</si>
  <si>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</si>
  <si>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</si>
  <si>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</si>
  <si>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</si>
  <si>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</si>
  <si>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</si>
  <si>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</si>
  <si>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</si>
  <si>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</si>
  <si>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</si>
  <si>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</si>
  <si>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</si>
  <si>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</si>
  <si>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</si>
  <si>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</si>
  <si>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</si>
  <si>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</si>
  <si>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</si>
  <si>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</si>
  <si>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</si>
  <si>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</si>
  <si>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</si>
  <si>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</si>
  <si>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</si>
  <si>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</si>
  <si>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</si>
  <si>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</si>
  <si>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</si>
  <si>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</si>
  <si>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</si>
  <si>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</si>
  <si>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</si>
  <si>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</si>
  <si>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</si>
  <si>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</si>
  <si>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</si>
  <si>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</si>
  <si>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</si>
  <si>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</si>
  <si>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</si>
  <si>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</si>
  <si>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</si>
  <si>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</si>
  <si>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</si>
  <si>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</si>
  <si>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</si>
  <si>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</si>
  <si>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</si>
  <si>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</si>
  <si>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</si>
  <si>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</si>
  <si>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</si>
  <si>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</si>
  <si>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</si>
  <si>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</si>
  <si>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</si>
  <si>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</si>
  <si>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</si>
  <si>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</si>
  <si>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</si>
  <si>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</si>
  <si>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</si>
  <si>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</si>
  <si>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</si>
  <si>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</si>
  <si>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</si>
  <si>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</si>
  <si>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</si>
  <si>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</si>
  <si>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</si>
  <si>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</si>
  <si>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</si>
  <si>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</si>
  <si>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</si>
  <si>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</si>
  <si>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</si>
  <si>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</si>
  <si>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</si>
  <si>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</si>
  <si>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</si>
  <si>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</si>
  <si>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</si>
  <si>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</si>
  <si>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</si>
  <si>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</si>
  <si>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</si>
  <si>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</si>
  <si>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</si>
  <si>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</si>
  <si>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</si>
  <si>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</si>
  <si>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</si>
  <si>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</si>
  <si>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</si>
  <si>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</si>
  <si>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</si>
  <si>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</si>
  <si>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</si>
  <si>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</si>
  <si>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</si>
  <si>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</si>
  <si>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</si>
  <si>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</si>
  <si>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</si>
  <si>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</si>
  <si>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</si>
  <si>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</si>
  <si>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</si>
  <si>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</si>
  <si>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</si>
  <si>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</si>
  <si>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</si>
  <si>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</si>
  <si>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</si>
  <si>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</si>
  <si>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</si>
  <si>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</si>
  <si>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</si>
  <si>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</si>
  <si>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</si>
  <si>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</si>
  <si>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</si>
  <si>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</si>
  <si>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</si>
  <si>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</si>
  <si>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</si>
  <si>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</si>
  <si>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</si>
  <si>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</si>
  <si>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</si>
  <si>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</si>
  <si>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</si>
  <si>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</si>
  <si>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</si>
  <si>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</si>
  <si>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</si>
  <si>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</si>
  <si>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</si>
  <si>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</si>
  <si>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</si>
  <si>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</si>
  <si>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</si>
  <si>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</si>
  <si>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</si>
  <si>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</si>
  <si>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</si>
  <si>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</si>
  <si>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</si>
  <si>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</si>
  <si>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</si>
  <si>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</si>
  <si>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</si>
  <si>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</si>
  <si>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</si>
  <si>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</si>
  <si>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</si>
  <si>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</si>
  <si>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</si>
  <si>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</si>
  <si>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</si>
  <si>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</si>
  <si>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</si>
  <si>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</si>
  <si>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</si>
  <si>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</si>
  <si>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</si>
  <si>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</si>
  <si>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</si>
  <si>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</si>
  <si>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</si>
  <si>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</si>
  <si>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</si>
  <si>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</si>
  <si>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</si>
  <si>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</si>
  <si>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</si>
  <si>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</si>
  <si>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</si>
  <si>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</si>
  <si>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</si>
  <si>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</si>
  <si>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</si>
  <si>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</si>
  <si>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</si>
  <si>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</si>
  <si>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</si>
  <si>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</si>
  <si>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</si>
  <si>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</si>
  <si>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</si>
  <si>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</si>
  <si>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</si>
  <si>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</si>
  <si>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</si>
  <si>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</si>
  <si>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</si>
  <si>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</si>
  <si>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</si>
  <si>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</si>
  <si>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</si>
  <si>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</si>
  <si>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</si>
  <si>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</si>
  <si>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</si>
  <si>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</si>
  <si>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</si>
  <si>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</si>
  <si>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</si>
  <si>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</si>
  <si>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</si>
  <si>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</si>
  <si>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</si>
  <si>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</si>
  <si>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</si>
  <si>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</si>
  <si>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</si>
  <si>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</si>
  <si>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</si>
  <si>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</si>
  <si>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</si>
  <si>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</si>
  <si>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</si>
  <si>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</si>
  <si>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</si>
  <si>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</si>
  <si>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</si>
  <si>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</si>
  <si>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</si>
  <si>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</si>
  <si>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</si>
  <si>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</si>
  <si>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</si>
  <si>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</si>
  <si>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</si>
  <si>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</si>
  <si>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</si>
  <si>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</si>
  <si>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</si>
  <si>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</si>
  <si>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</si>
  <si>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</si>
  <si>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</si>
  <si>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</si>
  <si>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</si>
  <si>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</si>
  <si>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</si>
  <si>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</si>
  <si>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</si>
  <si>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</si>
  <si>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</si>
  <si>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</si>
  <si>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</si>
  <si>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</si>
  <si>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</si>
  <si>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</si>
  <si>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</si>
  <si>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</si>
  <si>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</si>
  <si>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</si>
  <si>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</si>
  <si>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</si>
  <si>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</si>
  <si>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</si>
  <si>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</si>
  <si>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</si>
  <si>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</si>
  <si>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</si>
  <si>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</si>
  <si>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</si>
  <si>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</si>
  <si>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</si>
  <si>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</si>
  <si>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</si>
  <si>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</si>
  <si>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</si>
  <si>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</si>
  <si>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</si>
  <si>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</si>
  <si>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</si>
  <si>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</si>
  <si>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</si>
  <si>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</si>
  <si>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</si>
  <si>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</si>
  <si>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</si>
  <si>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</si>
  <si>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</si>
  <si>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</si>
  <si>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</si>
  <si>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</si>
  <si>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</si>
  <si>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</si>
  <si>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</si>
  <si>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</si>
  <si>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</si>
  <si>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</si>
  <si>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</si>
  <si>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</si>
  <si>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</si>
  <si>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</si>
  <si>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</si>
  <si>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</si>
  <si>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</si>
  <si>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</si>
  <si>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</si>
  <si>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</si>
  <si>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</si>
  <si>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</si>
  <si>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</si>
  <si>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</si>
  <si>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</si>
  <si>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</si>
  <si>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</si>
  <si>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</si>
  <si>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</si>
  <si>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</si>
  <si>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</si>
  <si>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</si>
  <si>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</si>
  <si>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</si>
  <si>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</si>
  <si>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</si>
  <si>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</si>
  <si>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</si>
  <si>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</si>
  <si>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</si>
  <si>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</si>
  <si>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</si>
  <si>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</si>
  <si>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</si>
  <si>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</si>
  <si>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</si>
  <si>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</si>
  <si>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</si>
  <si>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</si>
  <si>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</si>
  <si>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</si>
  <si>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</si>
  <si>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</si>
  <si>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</si>
  <si>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</si>
  <si>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</si>
  <si>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</si>
  <si>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</si>
  <si>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</si>
  <si>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</si>
  <si>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</si>
  <si>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</si>
  <si>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</si>
  <si>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</si>
  <si>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</si>
  <si>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</si>
  <si>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</si>
  <si>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</si>
  <si>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</si>
  <si>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</si>
  <si>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</si>
  <si>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</si>
  <si>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</si>
  <si>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</si>
  <si>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</si>
  <si>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</si>
  <si>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</si>
  <si>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</si>
  <si>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</si>
  <si>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</si>
  <si>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</si>
  <si>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</si>
  <si>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</si>
  <si>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</si>
  <si>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</si>
  <si>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</si>
  <si>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</si>
  <si>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</si>
  <si>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</si>
  <si>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</si>
  <si>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</si>
  <si>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</si>
  <si>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</si>
  <si>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</si>
  <si>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</si>
  <si>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</si>
  <si>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</si>
  <si>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</si>
  <si>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</si>
  <si>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</si>
  <si>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</si>
  <si>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</si>
  <si>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</si>
  <si>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</si>
  <si>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</si>
  <si>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</si>
  <si>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</si>
  <si>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</si>
  <si>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</si>
  <si>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</si>
  <si>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</si>
  <si>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</si>
  <si>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</si>
  <si>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</si>
  <si>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</si>
  <si>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</si>
  <si>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</si>
  <si>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</si>
  <si>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</si>
  <si>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</si>
  <si>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</si>
  <si>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</si>
  <si>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</si>
  <si>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</si>
  <si>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</si>
  <si>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</si>
  <si>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</si>
  <si>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</si>
  <si>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</si>
  <si>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</si>
  <si>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</si>
  <si>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</si>
  <si>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</si>
  <si>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</si>
  <si>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</si>
  <si>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</si>
  <si>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</si>
  <si>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</si>
  <si>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</si>
  <si>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</si>
  <si>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</si>
  <si>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</si>
  <si>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</si>
  <si>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</si>
  <si>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</si>
  <si>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</si>
  <si>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</si>
  <si>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</si>
  <si>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</si>
  <si>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</si>
  <si>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</si>
  <si>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</si>
  <si>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</si>
  <si>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</si>
  <si>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</si>
  <si>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</si>
  <si>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</si>
  <si>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</si>
  <si>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</si>
  <si>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</si>
  <si>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</si>
  <si>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</si>
  <si>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</si>
  <si>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</si>
  <si>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</si>
  <si>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</si>
  <si>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</si>
  <si>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</si>
  <si>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</si>
  <si>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</si>
  <si>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</si>
  <si>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</si>
  <si>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</si>
  <si>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</si>
  <si>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</si>
  <si>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</si>
  <si>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</si>
  <si>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</si>
  <si>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</si>
  <si>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</si>
  <si>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</si>
  <si>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</si>
  <si>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</si>
  <si>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</si>
  <si>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</si>
  <si>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</si>
  <si>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</si>
  <si>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</si>
  <si>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</si>
  <si>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</si>
  <si>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</si>
  <si>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</si>
  <si>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</si>
  <si>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</si>
  <si>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</si>
  <si>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</si>
  <si>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</si>
  <si>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</si>
  <si>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</si>
  <si>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</si>
  <si>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</si>
  <si>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</si>
  <si>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</si>
  <si>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</si>
  <si>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</si>
  <si>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</si>
  <si>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</si>
  <si>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</si>
  <si>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</si>
  <si>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</si>
  <si>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</si>
  <si>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</si>
  <si>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</si>
  <si>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</si>
  <si>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</si>
  <si>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</si>
  <si>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</si>
  <si>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</si>
  <si>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</si>
  <si>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</si>
  <si>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</si>
  <si>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</si>
  <si>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</si>
  <si>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</si>
  <si>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</si>
  <si>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</si>
  <si>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</si>
  <si>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</si>
  <si>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</si>
  <si>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</si>
  <si>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</si>
  <si>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</si>
  <si>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</si>
  <si>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</si>
  <si>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</si>
  <si>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</si>
  <si>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</si>
  <si>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</si>
  <si>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</si>
  <si>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</si>
  <si>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</si>
  <si>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</si>
  <si>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</si>
  <si>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</si>
  <si>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</si>
  <si>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</si>
  <si>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</si>
  <si>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</si>
  <si>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</si>
  <si>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</si>
  <si>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</si>
  <si>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</si>
  <si>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</si>
  <si>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</si>
  <si>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</si>
  <si>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</si>
  <si>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</si>
  <si>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</si>
  <si>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</si>
  <si>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</si>
  <si>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</si>
  <si>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</si>
  <si>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</si>
  <si>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</si>
  <si>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</si>
  <si>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</si>
  <si>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</si>
  <si>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</si>
  <si>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</si>
  <si>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</si>
  <si>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</si>
  <si>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</si>
  <si>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</si>
  <si>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</si>
  <si>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</si>
  <si>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</si>
  <si>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</si>
  <si>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</si>
  <si>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</si>
  <si>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</si>
  <si>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</si>
  <si>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</si>
  <si>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</si>
  <si>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</si>
  <si>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</si>
  <si>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</si>
  <si>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</si>
  <si>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</si>
  <si>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</si>
  <si>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</si>
  <si>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</si>
  <si>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</si>
  <si>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</si>
  <si>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</si>
  <si>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</si>
  <si>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</si>
  <si>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</si>
  <si>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</si>
  <si>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</si>
  <si>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</si>
  <si>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</si>
  <si>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</si>
  <si>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</si>
  <si>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</si>
  <si>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</si>
  <si>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</si>
  <si>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</si>
  <si>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</si>
  <si>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</si>
  <si>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</si>
  <si>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</si>
  <si>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</si>
  <si>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</si>
  <si>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</si>
  <si>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</si>
  <si>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</si>
  <si>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</si>
  <si>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</si>
  <si>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</si>
  <si>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</si>
  <si>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</si>
  <si>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</si>
  <si>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</si>
  <si>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</si>
  <si>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</si>
  <si>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</si>
  <si>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</si>
  <si>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</si>
  <si>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</si>
  <si>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</si>
  <si>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</si>
  <si>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</si>
  <si>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</si>
  <si>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</si>
  <si>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</si>
  <si>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</si>
  <si>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</si>
  <si>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</si>
  <si>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</si>
  <si>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</si>
  <si>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</si>
  <si>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</si>
  <si>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</si>
  <si>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</si>
  <si>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</si>
  <si>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</si>
  <si>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</si>
  <si>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</si>
  <si>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</si>
  <si>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</si>
  <si>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</si>
  <si>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</si>
  <si>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</si>
  <si>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</si>
  <si>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</si>
  <si>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</si>
  <si>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</si>
  <si>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</si>
  <si>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</si>
  <si>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</si>
  <si>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</si>
  <si>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</si>
  <si>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</si>
  <si>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</si>
  <si>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</si>
  <si>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</si>
  <si>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</si>
  <si>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</si>
  <si>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</si>
  <si>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</si>
  <si>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</si>
  <si>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</si>
  <si>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</si>
  <si>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</si>
  <si>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</si>
  <si>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</si>
  <si>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</si>
  <si>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</si>
  <si>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</si>
  <si>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</si>
  <si>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</si>
  <si>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</si>
  <si>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</si>
  <si>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</si>
  <si>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</si>
  <si>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</si>
  <si>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</si>
  <si>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</si>
  <si>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</si>
  <si>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</si>
  <si>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</si>
  <si>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</si>
  <si>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</si>
  <si>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</si>
  <si>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</si>
  <si>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</si>
  <si>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</si>
  <si>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</si>
  <si>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</si>
  <si>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</si>
  <si>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</si>
  <si>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</si>
  <si>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</si>
  <si>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</si>
  <si>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</si>
  <si>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</si>
  <si>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</si>
  <si>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</si>
  <si>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</si>
  <si>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</si>
  <si>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</si>
  <si>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</si>
  <si>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</si>
  <si>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</si>
  <si>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</si>
  <si>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</si>
  <si>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</si>
  <si>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</si>
  <si>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</si>
  <si>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</si>
  <si>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</si>
  <si>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</si>
  <si>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</si>
  <si>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</si>
  <si>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</si>
  <si>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</si>
  <si>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</si>
  <si>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</si>
  <si>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</si>
  <si>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</si>
  <si>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</si>
  <si>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</si>
  <si>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</si>
  <si>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</si>
  <si>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</si>
  <si>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</si>
  <si>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</si>
  <si>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</si>
  <si>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</si>
  <si>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</si>
  <si>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</si>
  <si>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</si>
  <si>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</si>
  <si>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</si>
  <si>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</si>
  <si>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</si>
  <si>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</si>
  <si>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</si>
  <si>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</si>
  <si>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</si>
  <si>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</si>
  <si>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</si>
  <si>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</si>
  <si>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</si>
  <si>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</si>
  <si>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</si>
  <si>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</si>
  <si>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</si>
  <si>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</si>
  <si>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</si>
  <si>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</si>
  <si>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</si>
  <si>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</si>
  <si>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</si>
  <si>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</si>
  <si>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</si>
  <si>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</si>
  <si>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</si>
  <si>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</si>
  <si>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</si>
  <si>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</si>
  <si>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</si>
  <si>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</si>
  <si>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</si>
  <si>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</si>
  <si>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</si>
  <si>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</si>
  <si>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</si>
  <si>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</si>
  <si>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</si>
  <si>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</si>
  <si>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</si>
  <si>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</si>
  <si>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</si>
  <si>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</si>
  <si>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</si>
  <si>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</si>
  <si>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</si>
  <si>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</si>
  <si>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</si>
  <si>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</si>
  <si>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</si>
  <si>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</si>
  <si>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</si>
  <si>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</si>
  <si>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</si>
  <si>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</si>
  <si>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</si>
  <si>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</si>
  <si>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</si>
  <si>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</si>
  <si>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</si>
  <si>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</si>
  <si>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</si>
  <si>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</si>
  <si>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</si>
  <si>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</si>
  <si>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</si>
  <si>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</si>
  <si>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</si>
  <si>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</si>
  <si>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</si>
  <si>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</si>
  <si>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</si>
  <si>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</si>
  <si>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</si>
  <si>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</si>
  <si>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</si>
  <si>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</si>
  <si>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</si>
  <si>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</si>
  <si>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</si>
  <si>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</si>
  <si>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</si>
  <si>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</si>
  <si>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</si>
  <si>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</si>
  <si>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</si>
  <si>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</si>
  <si>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</si>
  <si>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</si>
  <si>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</si>
  <si>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</si>
  <si>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</si>
  <si>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</si>
  <si>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</si>
  <si>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</si>
  <si>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</si>
  <si>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</si>
  <si>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</si>
  <si>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</si>
  <si>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</si>
  <si>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</si>
  <si>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</si>
  <si>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</si>
  <si>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</si>
  <si>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</si>
  <si>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</si>
  <si>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</si>
  <si>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</si>
  <si>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</si>
  <si>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</si>
  <si>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</si>
  <si>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</si>
  <si>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</si>
  <si>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</si>
  <si>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</si>
  <si>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</si>
  <si>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</si>
  <si>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</si>
  <si>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</si>
  <si>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</si>
  <si>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</si>
  <si>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</si>
  <si>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</si>
  <si>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</si>
  <si>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</si>
  <si>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</si>
  <si>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</si>
  <si>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</si>
  <si>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</si>
  <si>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</si>
  <si>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</si>
  <si>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</si>
  <si>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</si>
  <si>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</si>
  <si>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</si>
  <si>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</si>
  <si>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</si>
  <si>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</si>
  <si>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</si>
  <si>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</si>
  <si>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</si>
  <si>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</si>
  <si>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</si>
  <si>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</si>
  <si>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</si>
  <si>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</si>
  <si>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</si>
  <si>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</si>
  <si>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</si>
  <si>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</si>
  <si>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</si>
  <si>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</si>
  <si>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</si>
  <si>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</si>
  <si>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</si>
  <si>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</si>
  <si>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</si>
  <si>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</si>
  <si>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</si>
  <si>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</si>
  <si>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</si>
  <si>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</si>
  <si>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</si>
  <si>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</si>
  <si>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</si>
  <si>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</si>
  <si>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</si>
  <si>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</si>
  <si>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</si>
  <si>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</si>
  <si>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</si>
  <si>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</si>
  <si>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</si>
  <si>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</si>
  <si>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</si>
  <si>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</si>
  <si>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</si>
  <si>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</si>
  <si>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</si>
  <si>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</si>
  <si>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</si>
  <si>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</si>
  <si>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</si>
  <si>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</si>
  <si>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</si>
  <si>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</si>
  <si>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</si>
  <si>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</si>
  <si>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</si>
  <si>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</si>
  <si>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</si>
  <si>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</si>
  <si>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</si>
  <si>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</si>
  <si>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</si>
  <si>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</si>
  <si>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</si>
  <si>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</si>
  <si>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</si>
  <si>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</si>
  <si>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</si>
  <si>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</si>
  <si>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</si>
  <si>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</si>
  <si>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</si>
  <si>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</si>
  <si>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</si>
  <si>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</si>
  <si>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</si>
  <si>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</si>
  <si>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</si>
  <si>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</si>
  <si>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</si>
  <si>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</si>
  <si>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</si>
  <si>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</si>
  <si>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</si>
  <si>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</si>
  <si>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</si>
  <si>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</si>
  <si>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</si>
  <si>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</si>
  <si>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</si>
  <si>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</si>
  <si>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</si>
  <si>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</si>
  <si>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</si>
  <si>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</si>
  <si>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</si>
  <si>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</si>
  <si>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</si>
  <si>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</si>
  <si>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</si>
  <si>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</si>
  <si>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</si>
  <si>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</si>
  <si>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</si>
  <si>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</si>
  <si>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</si>
  <si>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</si>
  <si>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</si>
  <si>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</si>
  <si>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</si>
  <si>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</si>
  <si>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</si>
  <si>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</si>
  <si>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</si>
  <si>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</si>
  <si>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</si>
  <si>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</si>
  <si>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</si>
  <si>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</si>
  <si>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</si>
  <si>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</si>
  <si>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</si>
  <si>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</si>
  <si>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</si>
  <si>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</si>
  <si>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</si>
  <si>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</si>
  <si>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</si>
  <si>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</si>
  <si>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</si>
  <si>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</si>
  <si>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</si>
  <si>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</si>
  <si>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</si>
  <si>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</si>
  <si>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</si>
  <si>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</si>
  <si>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</si>
  <si>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</si>
  <si>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</si>
  <si>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</si>
  <si>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</si>
  <si>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</si>
  <si>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</si>
  <si>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</si>
  <si>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</si>
  <si>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</si>
  <si>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</si>
  <si>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</si>
  <si>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</si>
  <si>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</si>
  <si>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</si>
  <si>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</si>
  <si>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</si>
  <si>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</si>
  <si>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</si>
  <si>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</si>
  <si>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</si>
  <si>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</si>
  <si>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</si>
  <si>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</si>
  <si>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</si>
  <si>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</si>
  <si>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</si>
  <si>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</si>
  <si>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</si>
  <si>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</si>
  <si>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</si>
  <si>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</si>
  <si>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</si>
  <si>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</si>
  <si>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</si>
  <si>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</si>
  <si>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</si>
  <si>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</si>
  <si>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</si>
  <si>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</si>
  <si>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</si>
  <si>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</si>
  <si>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</si>
  <si>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</si>
  <si>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</si>
  <si>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</si>
  <si>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</si>
  <si>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</si>
  <si>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</si>
  <si>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</si>
  <si>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</si>
  <si>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</si>
  <si>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</si>
  <si>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</si>
  <si>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</si>
  <si>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</si>
  <si>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</si>
  <si>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</si>
  <si>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</si>
  <si>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</si>
  <si>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</si>
  <si>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</si>
  <si>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</si>
  <si>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</si>
  <si>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</si>
  <si>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</si>
  <si>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</si>
  <si>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</si>
  <si>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</si>
  <si>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</si>
  <si>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</si>
  <si>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</si>
  <si>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</si>
  <si>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</si>
  <si>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</si>
  <si>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</si>
  <si>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</si>
  <si>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</si>
  <si>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</si>
  <si>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</si>
  <si>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</si>
  <si>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</si>
  <si>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</si>
  <si>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</si>
  <si>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</si>
  <si>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</si>
  <si>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</si>
  <si>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</si>
  <si>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</si>
  <si>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</si>
  <si>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</si>
  <si>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</si>
  <si>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</si>
  <si>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</si>
  <si>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</si>
  <si>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</si>
  <si>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</si>
  <si>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</si>
  <si>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</si>
  <si>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</si>
  <si>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</si>
  <si>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</si>
  <si>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</si>
  <si>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</si>
  <si>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</si>
  <si>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</si>
  <si>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</si>
  <si>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</si>
  <si>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</si>
  <si>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</si>
  <si>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</si>
  <si>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</si>
  <si>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</si>
  <si>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</si>
  <si>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</si>
  <si>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</si>
  <si>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</si>
  <si>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</si>
  <si>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</si>
  <si>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</si>
  <si>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</si>
  <si>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</si>
  <si>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</si>
  <si>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</si>
  <si>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</si>
  <si>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</si>
  <si>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</si>
  <si>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</si>
  <si>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</si>
  <si>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</si>
  <si>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</si>
  <si>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</si>
  <si>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</si>
  <si>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</si>
  <si>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</si>
  <si>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</si>
  <si>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</si>
  <si>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</si>
  <si>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</si>
  <si>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</si>
  <si>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</si>
  <si>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</si>
  <si>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</si>
  <si>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</si>
  <si>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</si>
  <si>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</si>
  <si>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</si>
  <si>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</si>
  <si>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</si>
  <si>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</si>
  <si>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</si>
  <si>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</si>
  <si>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</si>
  <si>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</si>
  <si>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</si>
  <si>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</si>
  <si>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</si>
  <si>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</si>
  <si>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</si>
  <si>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</si>
  <si>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</si>
  <si>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</si>
  <si>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</si>
  <si>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</si>
  <si>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</si>
  <si>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</si>
  <si>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</si>
  <si>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</si>
  <si>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</si>
  <si>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</si>
  <si>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</si>
  <si>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</si>
  <si>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</si>
  <si>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</si>
  <si>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</si>
  <si>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</si>
  <si>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</si>
  <si>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</si>
  <si>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</si>
  <si>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</si>
  <si>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</si>
  <si>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</si>
  <si>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</si>
  <si>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</si>
  <si>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</si>
  <si>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</si>
  <si>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</si>
  <si>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</si>
  <si>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</si>
  <si>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</si>
  <si>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</si>
  <si>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</si>
  <si>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</si>
  <si>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</si>
  <si>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</si>
  <si>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</si>
  <si>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</si>
  <si>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</si>
  <si>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</si>
  <si>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</si>
  <si>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</si>
  <si>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</si>
  <si>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</si>
  <si>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</si>
  <si>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</si>
  <si>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</si>
  <si>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</si>
  <si>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</si>
  <si>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</si>
  <si>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</si>
  <si>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</si>
  <si>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</si>
  <si>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</si>
  <si>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</si>
  <si>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</si>
  <si>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</si>
  <si>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</si>
  <si>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</si>
  <si>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</si>
  <si>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</si>
  <si>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</si>
  <si>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</si>
  <si>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</si>
  <si>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</si>
  <si>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</si>
  <si>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</si>
  <si>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</si>
  <si>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</si>
  <si>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</si>
  <si>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</si>
  <si>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</si>
  <si>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</si>
  <si>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</si>
  <si>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</si>
  <si>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</si>
  <si>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</si>
  <si>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</si>
  <si>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</si>
  <si>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</si>
  <si>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</si>
  <si>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</si>
  <si>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</si>
  <si>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</si>
  <si>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</si>
  <si>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</si>
  <si>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</si>
  <si>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</si>
  <si>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</si>
  <si>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</si>
  <si>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</si>
  <si>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</si>
  <si>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</si>
  <si>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</si>
  <si>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</si>
  <si>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</si>
  <si>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</si>
  <si>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</si>
  <si>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</si>
  <si>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</si>
  <si>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</si>
  <si>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</si>
  <si>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</si>
  <si>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</si>
  <si>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</si>
  <si>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</si>
  <si>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</si>
  <si>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</si>
  <si>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</si>
  <si>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</si>
  <si>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</si>
  <si>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</si>
  <si>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</si>
  <si>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</si>
  <si>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</si>
  <si>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</si>
  <si>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</si>
  <si>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</si>
  <si>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</si>
  <si>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</si>
  <si>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</si>
  <si>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</si>
  <si>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</si>
  <si>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</si>
  <si>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</si>
  <si>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</si>
  <si>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</si>
  <si>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</si>
  <si>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</si>
  <si>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</si>
  <si>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</si>
  <si>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</si>
  <si>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</si>
  <si>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</si>
  <si>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</si>
  <si>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</si>
  <si>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</si>
  <si>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</si>
  <si>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</si>
  <si>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</si>
  <si>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</si>
  <si>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</si>
  <si>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</si>
  <si>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</si>
  <si>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</si>
  <si>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</si>
  <si>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</si>
  <si>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</si>
  <si>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</si>
  <si>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</si>
  <si>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</si>
  <si>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</si>
  <si>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</si>
  <si>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</si>
  <si>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</si>
  <si>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</si>
  <si>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</si>
  <si>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</si>
  <si>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</si>
  <si>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</si>
  <si>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</si>
  <si>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</si>
  <si>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</si>
  <si>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</si>
  <si>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</si>
  <si>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</si>
  <si>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</si>
  <si>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</si>
  <si>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</si>
  <si>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</si>
  <si>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</si>
  <si>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</si>
  <si>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</si>
  <si>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</si>
  <si>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</si>
  <si>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</si>
  <si>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</si>
  <si>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</si>
  <si>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</si>
  <si>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</si>
  <si>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</si>
  <si>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</si>
  <si>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</si>
  <si>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</si>
  <si>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</si>
  <si>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</si>
  <si>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</si>
  <si>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</si>
  <si>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</si>
  <si>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</si>
  <si>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</si>
  <si>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</si>
  <si>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</si>
  <si>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</si>
  <si>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</si>
  <si>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</si>
  <si>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</si>
  <si>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</si>
  <si>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</si>
  <si>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</si>
  <si>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</si>
  <si>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</si>
  <si>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</si>
  <si>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</si>
  <si>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</si>
  <si>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</si>
  <si>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</si>
  <si>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</si>
  <si>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</si>
  <si>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</si>
  <si>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</si>
  <si>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</si>
  <si>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</si>
  <si>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</si>
  <si>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</si>
  <si>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</si>
  <si>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</si>
  <si>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</si>
  <si>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</si>
  <si>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</si>
  <si>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</si>
  <si>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</si>
  <si>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</si>
  <si>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</si>
  <si>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</si>
  <si>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</si>
  <si>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</si>
  <si>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</si>
  <si>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</si>
  <si>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</si>
  <si>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</si>
  <si>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</si>
  <si>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</si>
  <si>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</si>
  <si>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</si>
  <si>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</si>
  <si>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</si>
  <si>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</si>
  <si>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</si>
  <si>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</si>
  <si>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</si>
  <si>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</si>
  <si>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</si>
  <si>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</si>
  <si>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</si>
  <si>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</si>
  <si>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</si>
  <si>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</si>
  <si>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</si>
  <si>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</si>
  <si>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</si>
  <si>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</si>
  <si>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</si>
  <si>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</si>
  <si>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</si>
  <si>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</si>
  <si>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</si>
  <si>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</si>
  <si>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</si>
  <si>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</si>
  <si>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</si>
  <si>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</si>
  <si>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</si>
  <si>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</si>
  <si>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</si>
  <si>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</si>
  <si>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</si>
  <si>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</si>
  <si>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</si>
  <si>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</si>
  <si>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</si>
  <si>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</si>
  <si>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</si>
  <si>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</si>
  <si>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</si>
  <si>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</si>
  <si>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</si>
  <si>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</si>
  <si>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</si>
  <si>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</si>
  <si>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</si>
  <si>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</si>
  <si>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</si>
  <si>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</si>
  <si>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</si>
  <si>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</si>
  <si>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</si>
  <si>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</si>
  <si>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</si>
  <si>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</si>
  <si>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</si>
  <si>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</si>
  <si>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</si>
  <si>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</si>
  <si>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</si>
  <si>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</si>
  <si>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</si>
  <si>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</si>
  <si>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</si>
  <si>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</si>
  <si>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</si>
  <si>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</si>
  <si>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</si>
  <si>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</si>
  <si>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</si>
  <si>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</si>
  <si>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</si>
  <si>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</si>
  <si>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</si>
  <si>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</si>
  <si>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</si>
  <si>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</si>
  <si>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</si>
  <si>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</si>
  <si>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</si>
  <si>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</si>
  <si>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</si>
  <si>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</si>
  <si>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</si>
  <si>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</si>
  <si>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</si>
  <si>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</si>
  <si>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</si>
  <si>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</si>
  <si>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</si>
  <si>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</si>
  <si>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</si>
  <si>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</si>
  <si>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</si>
  <si>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</si>
  <si>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</si>
  <si>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</si>
  <si>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</si>
  <si>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</si>
  <si>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</si>
  <si>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</si>
  <si>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</si>
  <si>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</si>
  <si>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</si>
  <si>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</si>
  <si>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</si>
  <si>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</si>
  <si>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</si>
  <si>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</si>
  <si>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</si>
  <si>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</si>
  <si>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</si>
  <si>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</si>
  <si>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</si>
  <si>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</si>
  <si>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</si>
  <si>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</si>
  <si>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</si>
  <si>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</si>
  <si>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</si>
  <si>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</si>
  <si>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</si>
  <si>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</si>
  <si>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</si>
  <si>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</si>
  <si>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</si>
  <si>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</si>
  <si>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</si>
  <si>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</si>
  <si>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</si>
  <si>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</si>
  <si>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</si>
  <si>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</si>
  <si>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</si>
  <si>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</si>
  <si>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</si>
  <si>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</si>
  <si>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</si>
  <si>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</si>
  <si>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</si>
  <si>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</si>
  <si>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</si>
  <si>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</si>
  <si>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</si>
  <si>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</si>
  <si>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</si>
  <si>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</si>
  <si>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</si>
  <si>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</si>
  <si>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</si>
  <si>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</si>
  <si>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</si>
  <si>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</si>
  <si>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</si>
  <si>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</si>
  <si>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</si>
  <si>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</si>
  <si>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</si>
  <si>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</si>
  <si>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</si>
  <si>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</si>
  <si>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</si>
  <si>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</si>
  <si>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</si>
  <si>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</si>
  <si>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</si>
  <si>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</si>
  <si>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</si>
  <si>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</si>
  <si>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</si>
  <si>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</si>
  <si>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</si>
  <si>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</si>
  <si>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</si>
  <si>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</si>
  <si>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</si>
  <si>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</si>
  <si>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</si>
  <si>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</si>
  <si>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</si>
  <si>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</si>
  <si>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</si>
  <si>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</si>
  <si>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</si>
  <si>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</si>
  <si>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</si>
  <si>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</si>
  <si>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</si>
  <si>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</si>
  <si>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</si>
  <si>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</si>
  <si>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</si>
  <si>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</si>
  <si>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</si>
  <si>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</si>
  <si>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</si>
  <si>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</si>
  <si>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</si>
  <si>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</si>
  <si>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</si>
  <si>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</si>
  <si>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</si>
  <si>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</si>
  <si>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</si>
  <si>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</si>
  <si>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</si>
  <si>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</si>
  <si>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</si>
  <si>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</si>
  <si>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</si>
  <si>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</si>
  <si>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</si>
  <si>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</si>
  <si>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</si>
  <si>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</si>
  <si>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</si>
  <si>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</si>
  <si>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</si>
  <si>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</si>
  <si>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</si>
  <si>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</si>
  <si>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</si>
  <si>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</si>
  <si>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</si>
  <si>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</si>
  <si>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</si>
  <si>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</si>
  <si>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</si>
  <si>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</si>
  <si>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</si>
  <si>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</si>
  <si>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</si>
  <si>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</si>
  <si>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</si>
  <si>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</si>
  <si>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</si>
  <si>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</si>
  <si>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</si>
  <si>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</si>
  <si>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</si>
  <si>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</si>
  <si>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</si>
  <si>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</si>
  <si>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</si>
  <si>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</si>
  <si>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</si>
  <si>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</si>
  <si>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</si>
  <si>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</si>
  <si>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</si>
  <si>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</si>
  <si>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</si>
  <si>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</si>
  <si>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</si>
  <si>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</si>
  <si>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</si>
  <si>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</si>
  <si>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</si>
  <si>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</si>
  <si>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</si>
  <si>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</si>
  <si>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</si>
  <si>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</si>
  <si>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</si>
  <si>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</si>
  <si>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</si>
  <si>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</si>
  <si>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</si>
  <si>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</si>
  <si>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</si>
  <si>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</si>
  <si>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</si>
  <si>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</si>
  <si>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</si>
  <si>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</si>
  <si>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</si>
  <si>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</si>
  <si>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</si>
  <si>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</si>
  <si>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</si>
  <si>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</si>
  <si>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</si>
  <si>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</si>
  <si>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</si>
  <si>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</si>
  <si>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</si>
  <si>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</si>
  <si>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</si>
  <si>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</si>
  <si>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</si>
  <si>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</si>
  <si>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</si>
  <si>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</si>
  <si>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</si>
  <si>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</si>
  <si>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</si>
  <si>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</si>
  <si>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</si>
  <si>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</si>
  <si>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</si>
  <si>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</si>
  <si>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</si>
  <si>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</si>
  <si>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</si>
  <si>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</si>
  <si>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</si>
  <si>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</si>
  <si>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</si>
  <si>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</si>
  <si>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</si>
  <si>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</si>
  <si>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</si>
  <si>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</si>
  <si>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</si>
  <si>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</si>
  <si>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</si>
  <si>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</si>
  <si>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</si>
  <si>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</si>
  <si>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</si>
  <si>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</si>
  <si>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</si>
  <si>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</si>
  <si>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</si>
  <si>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</si>
  <si>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</si>
  <si>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</si>
  <si>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</si>
  <si>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</si>
  <si>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</si>
  <si>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</si>
  <si>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</si>
  <si>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</si>
  <si>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</si>
  <si>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</si>
  <si>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</si>
  <si>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</si>
  <si>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</si>
  <si>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</si>
  <si>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</si>
  <si>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</si>
  <si>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</si>
  <si>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</si>
  <si>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</si>
  <si>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</si>
  <si>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</si>
  <si>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</si>
  <si>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</si>
  <si>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</si>
  <si>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</si>
  <si>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</si>
  <si>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</si>
  <si>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</si>
  <si>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</si>
  <si>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</si>
  <si>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</si>
  <si>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</si>
  <si>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</si>
  <si>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</si>
  <si>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</si>
  <si>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</si>
  <si>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</si>
  <si>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</si>
  <si>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</si>
  <si>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</si>
  <si>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</si>
  <si>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</si>
  <si>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</si>
  <si>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</si>
  <si>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</si>
  <si>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</si>
  <si>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</si>
  <si>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</si>
  <si>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</si>
  <si>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</si>
  <si>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</si>
  <si>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</si>
  <si>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</si>
  <si>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</si>
  <si>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</si>
  <si>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</si>
  <si>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</si>
  <si>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</si>
  <si>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</si>
  <si>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</si>
  <si>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</si>
  <si>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</si>
  <si>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</si>
  <si>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</si>
  <si>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</si>
  <si>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</si>
  <si>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</si>
  <si>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</si>
  <si>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</si>
  <si>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</si>
  <si>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</si>
  <si>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</si>
  <si>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</si>
  <si>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</si>
  <si>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</si>
  <si>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</si>
  <si>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</si>
  <si>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</si>
  <si>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</si>
  <si>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</si>
  <si>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</si>
  <si>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</si>
  <si>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</si>
  <si>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</si>
  <si>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</si>
  <si>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</si>
  <si>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</si>
  <si>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</si>
  <si>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</si>
  <si>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</si>
  <si>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</si>
  <si>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</si>
  <si>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</si>
  <si>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</si>
  <si>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</si>
  <si>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</si>
  <si>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</si>
  <si>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</si>
  <si>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</si>
  <si>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</si>
  <si>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</si>
  <si>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</si>
  <si>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</si>
  <si>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</si>
  <si>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</si>
  <si>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</si>
  <si>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</si>
  <si>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</si>
  <si>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</si>
  <si>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</si>
  <si>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</si>
  <si>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</si>
  <si>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</si>
  <si>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</si>
  <si>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</si>
  <si>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</si>
  <si>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</si>
  <si>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</si>
  <si>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</si>
  <si>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</si>
  <si>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</si>
  <si>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</si>
  <si>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</si>
  <si>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</si>
  <si>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</si>
  <si>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</si>
  <si>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</si>
  <si>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</si>
  <si>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</si>
  <si>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</si>
  <si>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</si>
  <si>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</si>
  <si>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</si>
  <si>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</si>
  <si>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</si>
  <si>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</si>
  <si>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</si>
  <si>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</si>
  <si>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</si>
  <si>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</si>
  <si>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</si>
  <si>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</si>
  <si>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</si>
  <si>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</si>
  <si>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</si>
  <si>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</si>
  <si>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</si>
  <si>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</si>
  <si>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</si>
  <si>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</si>
  <si>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</si>
  <si>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</si>
  <si>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</si>
  <si>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</si>
  <si>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</si>
  <si>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</si>
  <si>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</si>
  <si>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</si>
  <si>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</si>
  <si>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</si>
  <si>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</si>
  <si>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</si>
  <si>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</si>
  <si>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</si>
  <si>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</si>
  <si>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</si>
  <si>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</si>
  <si>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</si>
  <si>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</si>
  <si>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</si>
  <si>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</si>
  <si>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</si>
  <si>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</si>
  <si>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</si>
  <si>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</si>
  <si>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</si>
  <si>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</si>
  <si>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</si>
  <si>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</si>
  <si>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</si>
  <si>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</si>
  <si>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</si>
  <si>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</si>
  <si>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</si>
  <si>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</si>
  <si>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</si>
  <si>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</si>
  <si>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</si>
  <si>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</si>
  <si>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</si>
  <si>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</si>
  <si>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</si>
  <si>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</si>
  <si>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</si>
  <si>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</si>
  <si>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</si>
  <si>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</si>
  <si>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</si>
  <si>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</si>
  <si>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</si>
  <si>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</si>
  <si>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</si>
  <si>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</si>
  <si>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</si>
  <si>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</si>
  <si>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</si>
  <si>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</si>
  <si>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</si>
  <si>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</si>
  <si>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</si>
  <si>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</si>
  <si>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</si>
  <si>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</si>
  <si>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</si>
  <si>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</si>
  <si>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</si>
  <si>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</si>
  <si>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</si>
  <si>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</si>
  <si>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</si>
  <si>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</si>
  <si>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</si>
  <si>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</si>
  <si>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</si>
  <si>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</si>
  <si>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</si>
  <si>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</si>
  <si>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</si>
  <si>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</si>
  <si>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</si>
  <si>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</si>
  <si>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</si>
  <si>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</si>
  <si>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</si>
  <si>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</si>
  <si>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</si>
  <si>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</si>
  <si>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</si>
  <si>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</si>
  <si>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</si>
  <si>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</si>
  <si>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</si>
  <si>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</si>
  <si>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</si>
  <si>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</si>
  <si>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</si>
  <si>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</si>
  <si>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</si>
  <si>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</si>
  <si>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</si>
  <si>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</si>
  <si>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</si>
  <si>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</si>
  <si>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</si>
  <si>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</si>
  <si>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</si>
  <si>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</si>
  <si>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</si>
  <si>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</si>
  <si>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</si>
  <si>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</si>
  <si>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</si>
  <si>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</si>
  <si>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</si>
  <si>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</si>
  <si>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</si>
  <si>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</si>
  <si>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</si>
  <si>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</si>
  <si>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</si>
  <si>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</si>
  <si>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</si>
  <si>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</si>
  <si>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</si>
  <si>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</si>
  <si>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</si>
  <si>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</si>
  <si>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</si>
  <si>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</si>
  <si>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</si>
  <si>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</si>
  <si>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</si>
  <si>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</si>
  <si>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</si>
  <si>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</si>
  <si>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</si>
  <si>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</si>
  <si>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</si>
  <si>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</si>
  <si>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</si>
  <si>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</si>
  <si>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</si>
  <si>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</si>
  <si>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</si>
  <si>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</si>
  <si>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</si>
  <si>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</si>
  <si>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</si>
  <si>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</si>
  <si>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</si>
  <si>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</si>
  <si>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</si>
  <si>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</si>
  <si>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</si>
  <si>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</si>
  <si>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</si>
  <si>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</si>
  <si>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</si>
  <si>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</si>
  <si>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</si>
  <si>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</si>
  <si>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</si>
  <si>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</si>
  <si>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</si>
  <si>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</si>
  <si>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</si>
  <si>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</si>
  <si>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</si>
  <si>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</si>
  <si>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</si>
  <si>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</si>
  <si>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</si>
  <si>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</si>
  <si>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</si>
  <si>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</si>
  <si>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</si>
  <si>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</si>
  <si>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</si>
  <si>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</si>
  <si>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</si>
  <si>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</si>
  <si>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</si>
  <si>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</si>
  <si>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</si>
  <si>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</si>
  <si>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</si>
  <si>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</si>
  <si>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</si>
  <si>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</si>
  <si>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</si>
  <si>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</si>
  <si>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</si>
  <si>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</si>
  <si>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</si>
  <si>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</si>
  <si>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</si>
  <si>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</si>
  <si>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</si>
  <si>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</si>
  <si>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</si>
  <si>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</si>
  <si>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</si>
  <si>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</si>
  <si>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</si>
  <si>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</si>
  <si>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</si>
  <si>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</si>
  <si>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</si>
  <si>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</si>
  <si>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</si>
  <si>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</si>
  <si>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</si>
  <si>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</si>
  <si>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</si>
  <si>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</si>
  <si>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</si>
  <si>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</si>
  <si>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</si>
  <si>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</si>
  <si>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</si>
  <si>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</si>
  <si>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</si>
  <si>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</si>
  <si>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</si>
  <si>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</si>
  <si>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</si>
  <si>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</si>
  <si>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</si>
  <si>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</si>
  <si>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</si>
  <si>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</si>
  <si>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</si>
  <si>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</si>
  <si>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</si>
  <si>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</si>
  <si>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</si>
  <si>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</si>
  <si>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</si>
  <si>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</si>
  <si>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</si>
  <si>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</si>
  <si>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</si>
  <si>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</si>
  <si>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</si>
  <si>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</si>
  <si>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</si>
  <si>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</si>
  <si>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</si>
  <si>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</si>
  <si>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</si>
  <si>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</si>
  <si>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</si>
  <si>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</si>
  <si>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</si>
  <si>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</si>
  <si>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</si>
  <si>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</si>
  <si>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</si>
  <si>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</si>
  <si>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</si>
  <si>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</si>
  <si>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</si>
  <si>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</si>
  <si>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</si>
  <si>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</si>
  <si>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</si>
  <si>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</si>
  <si>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</si>
  <si>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</si>
  <si>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</si>
  <si>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</si>
  <si>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</si>
  <si>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</si>
  <si>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</si>
  <si>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</si>
  <si>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</si>
  <si>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</si>
  <si>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</si>
  <si>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</si>
  <si>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</si>
  <si>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</si>
  <si>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</si>
  <si>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</si>
  <si>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</si>
  <si>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</si>
  <si>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</si>
  <si>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</si>
  <si>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</si>
  <si>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</si>
  <si>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</si>
  <si>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</si>
  <si>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</si>
  <si>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</si>
  <si>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</si>
  <si>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</si>
  <si>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</si>
  <si>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</si>
  <si>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</si>
  <si>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</si>
  <si>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</si>
  <si>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</si>
  <si>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</si>
  <si>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</si>
  <si>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</si>
  <si>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</si>
  <si>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</si>
  <si>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</si>
  <si>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</si>
  <si>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</si>
  <si>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</si>
  <si>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</si>
  <si>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</si>
  <si>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</si>
  <si>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</si>
  <si>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</si>
  <si>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</si>
  <si>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</si>
  <si>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</si>
  <si>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</si>
  <si>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</si>
  <si>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</si>
  <si>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</si>
  <si>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</si>
  <si>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</si>
  <si>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</si>
  <si>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</si>
  <si>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</si>
  <si>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</si>
  <si>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</si>
  <si>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</si>
  <si>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</si>
  <si>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</si>
  <si>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</si>
  <si>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</si>
  <si>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</si>
  <si>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</si>
  <si>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</si>
  <si>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</si>
  <si>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</si>
  <si>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</si>
  <si>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</si>
  <si>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</si>
  <si>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</si>
  <si>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</si>
  <si>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</si>
  <si>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</si>
  <si>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</si>
  <si>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</si>
  <si>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</si>
  <si>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</si>
  <si>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</si>
  <si>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</si>
  <si>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</si>
  <si>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</si>
  <si>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</si>
  <si>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</si>
  <si>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</si>
  <si>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</si>
  <si>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</si>
  <si>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</si>
  <si>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</si>
  <si>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</si>
  <si>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</si>
  <si>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</si>
  <si>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</si>
  <si>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</si>
  <si>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</si>
  <si>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</si>
  <si>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</si>
  <si>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</si>
  <si>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</si>
  <si>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</si>
  <si>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</si>
  <si>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</si>
  <si>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</si>
  <si>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</si>
  <si>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</si>
  <si>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</si>
  <si>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</si>
  <si>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</si>
  <si>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</si>
  <si>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</si>
  <si>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</si>
  <si>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</si>
  <si>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</si>
  <si>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</si>
  <si>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</si>
  <si>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</si>
  <si>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</si>
  <si>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</si>
  <si>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</si>
  <si>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</si>
  <si>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</si>
  <si>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</si>
  <si>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</si>
  <si>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</si>
  <si>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</si>
  <si>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</si>
  <si>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</si>
  <si>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</si>
  <si>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</si>
  <si>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</si>
  <si>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</si>
  <si>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</si>
  <si>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</si>
  <si>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</si>
  <si>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</si>
  <si>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</si>
  <si>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</si>
  <si>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</si>
  <si>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</si>
  <si>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</si>
  <si>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</si>
  <si>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</si>
  <si>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</si>
  <si>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</si>
  <si>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</si>
  <si>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</si>
  <si>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</si>
  <si>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</si>
  <si>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</si>
  <si>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</si>
  <si>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</si>
  <si>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</si>
  <si>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</si>
  <si>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</si>
  <si>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</si>
  <si>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</si>
  <si>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</si>
  <si>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</si>
  <si>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</si>
  <si>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</si>
  <si>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</si>
  <si>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</si>
  <si>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</si>
  <si>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</si>
  <si>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</si>
  <si>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</si>
  <si>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</si>
  <si>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</si>
  <si>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</si>
  <si>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</si>
  <si>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</si>
  <si>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</si>
  <si>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</si>
  <si>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</si>
  <si>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</si>
  <si>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</si>
  <si>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</si>
  <si>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</si>
  <si>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</si>
  <si>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</si>
  <si>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</si>
  <si>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</si>
  <si>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</si>
  <si>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</si>
  <si>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</si>
  <si>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</si>
  <si>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</si>
  <si>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</si>
  <si>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</si>
  <si>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</si>
  <si>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</si>
  <si>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</si>
  <si>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</si>
  <si>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</si>
  <si>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</si>
  <si>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</si>
  <si>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</si>
  <si>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</si>
  <si>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</si>
  <si>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</si>
  <si>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</si>
  <si>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</si>
  <si>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</si>
  <si>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</si>
  <si>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</si>
  <si>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</si>
  <si>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</si>
  <si>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</si>
  <si>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</si>
  <si>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</si>
  <si>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</si>
  <si>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</si>
  <si>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</si>
  <si>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</si>
  <si>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</si>
  <si>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</si>
  <si>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</si>
  <si>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</si>
  <si>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</si>
  <si>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</si>
  <si>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</si>
  <si>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</si>
  <si>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</si>
  <si>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</si>
  <si>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</si>
  <si>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</si>
  <si>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</si>
  <si>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</si>
  <si>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</si>
  <si>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</si>
  <si>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</si>
  <si>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</si>
  <si>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</si>
  <si>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</si>
  <si>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</si>
  <si>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</si>
  <si>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</si>
  <si>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</si>
  <si>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</si>
  <si>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</si>
  <si>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</si>
  <si>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</si>
  <si>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</si>
  <si>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</si>
  <si>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</si>
  <si>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</si>
  <si>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</si>
  <si>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</si>
  <si>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</si>
  <si>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</si>
  <si>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</si>
  <si>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</si>
  <si>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</si>
  <si>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</si>
  <si>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</si>
  <si>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</si>
  <si>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</si>
  <si>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</si>
  <si>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</si>
  <si>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</si>
  <si>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</si>
  <si>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</si>
  <si>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</si>
  <si>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</si>
  <si>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</si>
  <si>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</si>
  <si>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</si>
  <si>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</si>
  <si>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</si>
  <si>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</si>
  <si>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</si>
  <si>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</si>
  <si>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</si>
  <si>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</si>
  <si>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</si>
  <si>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</si>
  <si>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</si>
  <si>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</si>
  <si>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</si>
  <si>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</si>
  <si>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</si>
  <si>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</si>
  <si>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</si>
  <si>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</si>
  <si>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</si>
  <si>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</si>
  <si>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</si>
  <si>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</si>
  <si>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</si>
  <si>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</si>
  <si>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</si>
  <si>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</si>
  <si>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</si>
  <si>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</si>
  <si>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</si>
  <si>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</si>
  <si>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</si>
  <si>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</si>
  <si>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</si>
  <si>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</si>
  <si>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</si>
  <si>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</si>
  <si>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</si>
  <si>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</si>
  <si>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</si>
  <si>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</si>
  <si>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</si>
  <si>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</si>
  <si>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</si>
  <si>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</si>
  <si>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</si>
  <si>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</si>
  <si>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</si>
  <si>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</si>
  <si>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</si>
  <si>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</si>
  <si>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</si>
  <si>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</si>
  <si>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</si>
  <si>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</si>
  <si>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</si>
  <si>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</si>
  <si>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</si>
  <si>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</si>
  <si>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</si>
  <si>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</si>
  <si>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</si>
  <si>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</si>
  <si>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</si>
  <si>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</si>
  <si>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</si>
  <si>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</si>
  <si>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</si>
  <si>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</si>
  <si>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</si>
  <si>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</si>
  <si>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</si>
  <si>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</si>
  <si>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</si>
  <si>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</si>
  <si>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</si>
  <si>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</si>
  <si>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</si>
  <si>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</si>
  <si>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</si>
  <si>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</si>
  <si>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</si>
  <si>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</si>
  <si>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</si>
  <si>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</si>
  <si>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</si>
  <si>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</si>
  <si>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</si>
  <si>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</si>
  <si>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</si>
  <si>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</si>
  <si>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</si>
  <si>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</si>
  <si>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</si>
  <si>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</si>
  <si>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</si>
  <si>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</si>
  <si>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</si>
  <si>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</si>
  <si>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</si>
  <si>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</si>
  <si>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</si>
  <si>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</si>
  <si>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</si>
  <si>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</si>
  <si>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</si>
  <si>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</si>
  <si>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</si>
  <si>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</si>
  <si>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</si>
  <si>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</si>
  <si>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</si>
  <si>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</si>
  <si>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</si>
  <si>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</si>
  <si>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</si>
  <si>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</si>
  <si>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</si>
  <si>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</si>
  <si>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</si>
  <si>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</si>
  <si>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</si>
  <si>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</si>
  <si>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</si>
  <si>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</si>
  <si>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</si>
  <si>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</si>
  <si>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</si>
  <si>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</si>
  <si>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</si>
  <si>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</si>
  <si>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</si>
  <si>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</si>
  <si>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</si>
  <si>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</si>
  <si>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</si>
  <si>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</si>
  <si>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</si>
  <si>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</si>
  <si>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</si>
  <si>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</si>
  <si>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</si>
  <si>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</si>
  <si>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</si>
  <si>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</si>
  <si>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</si>
  <si>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</si>
  <si>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</si>
  <si>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</si>
  <si>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</si>
  <si>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</si>
  <si>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</si>
  <si>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</si>
  <si>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</si>
  <si>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</si>
  <si>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</si>
  <si>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</si>
  <si>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</si>
  <si>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</si>
  <si>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</si>
  <si>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</si>
  <si>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</si>
  <si>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</si>
  <si>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</si>
  <si>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</si>
  <si>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</si>
  <si>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</si>
  <si>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</si>
  <si>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</si>
  <si>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</si>
  <si>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</si>
  <si>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</si>
  <si>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</si>
  <si>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</si>
  <si>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</si>
  <si>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</si>
  <si>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</si>
  <si>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</si>
  <si>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</si>
  <si>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</si>
  <si>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</si>
  <si>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</si>
  <si>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</si>
  <si>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</si>
  <si>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</si>
  <si>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</si>
  <si>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</si>
  <si>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</si>
  <si>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</si>
  <si>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</si>
  <si>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</si>
  <si>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</si>
  <si>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</si>
  <si>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</si>
  <si>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</si>
  <si>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</si>
  <si>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</si>
  <si>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</si>
  <si>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</si>
  <si>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</si>
  <si>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</si>
  <si>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</si>
  <si>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</si>
  <si>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</si>
  <si>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</si>
  <si>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</si>
  <si>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</si>
  <si>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</si>
  <si>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</si>
  <si>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</si>
  <si>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</si>
  <si>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</si>
  <si>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</si>
  <si>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</si>
  <si>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</si>
  <si>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</si>
  <si>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</si>
  <si>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</si>
  <si>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</si>
  <si>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</si>
  <si>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</si>
  <si>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</si>
  <si>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</si>
  <si>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</si>
  <si>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</si>
  <si>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</si>
  <si>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</si>
  <si>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</si>
  <si>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</si>
  <si>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</si>
  <si>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</si>
  <si>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</si>
  <si>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</si>
  <si>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</si>
  <si>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</si>
  <si>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</si>
  <si>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</si>
  <si>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</si>
  <si>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</si>
  <si>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</si>
  <si>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</si>
  <si>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</si>
  <si>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</si>
  <si>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</si>
  <si>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</si>
  <si>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</si>
  <si>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</si>
  <si>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</si>
  <si>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</si>
  <si>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</si>
  <si>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</si>
  <si>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</si>
  <si>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</si>
  <si>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</si>
  <si>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</si>
  <si>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</si>
  <si>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</si>
  <si>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</si>
  <si>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</si>
  <si>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</si>
  <si>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</si>
  <si>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</si>
  <si>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</si>
  <si>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</si>
  <si>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</si>
  <si>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</si>
  <si>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</si>
  <si>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</si>
  <si>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</si>
  <si>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</si>
  <si>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</si>
  <si>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</si>
  <si>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</si>
  <si>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</si>
  <si>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</si>
  <si>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</si>
  <si>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</si>
  <si>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</si>
  <si>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</si>
  <si>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</si>
  <si>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</si>
  <si>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</si>
  <si>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</si>
  <si>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</si>
  <si>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</si>
  <si>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</si>
  <si>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</si>
  <si>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</si>
  <si>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</si>
  <si>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</si>
  <si>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</si>
  <si>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</si>
  <si>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</si>
  <si>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</si>
  <si>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</si>
  <si>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</si>
  <si>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</si>
  <si>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</si>
  <si>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</si>
  <si>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</si>
  <si>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</si>
  <si>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</si>
  <si>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</si>
  <si>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</si>
  <si>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</si>
  <si>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</si>
  <si>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</si>
  <si>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</si>
  <si>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</si>
  <si>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</si>
  <si>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</si>
  <si>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</si>
  <si>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</si>
  <si>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</si>
  <si>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</si>
  <si>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</si>
  <si>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</si>
  <si>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</si>
  <si>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</si>
  <si>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</si>
  <si>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</si>
  <si>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</si>
  <si>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</si>
  <si>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</si>
  <si>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</si>
  <si>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</si>
  <si>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</si>
  <si>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</si>
  <si>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</si>
  <si>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</si>
  <si>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</si>
  <si>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</si>
  <si>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</si>
  <si>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</si>
  <si>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</si>
  <si>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</si>
  <si>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</si>
  <si>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</si>
  <si>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</si>
  <si>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</si>
  <si>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</si>
  <si>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</si>
  <si>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</si>
  <si>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</si>
  <si>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</si>
  <si>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</si>
  <si>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</si>
  <si>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</si>
  <si>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</si>
  <si>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</si>
  <si>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</si>
  <si>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</si>
  <si>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</si>
  <si>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</si>
  <si>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</si>
  <si>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</si>
  <si>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</si>
  <si>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</si>
  <si>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</si>
  <si>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</si>
  <si>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</si>
  <si>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</si>
  <si>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</si>
  <si>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</si>
  <si>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</si>
  <si>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</si>
  <si>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</si>
  <si>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</si>
  <si>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</si>
  <si>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</si>
  <si>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</si>
  <si>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</si>
  <si>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</si>
  <si>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</si>
  <si>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</si>
  <si>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</si>
  <si>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</si>
  <si>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</si>
  <si>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</si>
  <si>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</si>
  <si>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</si>
  <si>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</si>
  <si>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</si>
  <si>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</si>
  <si>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</si>
  <si>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</si>
  <si>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</si>
  <si>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</si>
  <si>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</si>
  <si>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</si>
  <si>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</si>
  <si>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</si>
  <si>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</si>
  <si>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</si>
  <si>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</si>
  <si>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</si>
  <si>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</si>
  <si>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</si>
  <si>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</si>
  <si>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</si>
  <si>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</si>
  <si>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</si>
  <si>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</si>
  <si>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</si>
  <si>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</si>
  <si>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</si>
  <si>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</si>
  <si>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</si>
  <si>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</si>
  <si>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</si>
  <si>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</si>
  <si>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</si>
  <si>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</si>
  <si>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</si>
  <si>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</si>
  <si>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</si>
  <si>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</si>
  <si>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</si>
  <si>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</si>
  <si>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</si>
  <si>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</si>
  <si>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</si>
  <si>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</si>
  <si>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</si>
  <si>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</si>
  <si>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</si>
  <si>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</si>
  <si>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</si>
  <si>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</si>
  <si>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</si>
  <si>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</si>
  <si>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</si>
  <si>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</si>
  <si>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</si>
  <si>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</si>
  <si>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</si>
  <si>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</si>
  <si>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</si>
  <si>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</si>
  <si>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</si>
  <si>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</si>
  <si>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</si>
  <si>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</si>
  <si>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</si>
  <si>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</si>
  <si>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</si>
  <si>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</si>
  <si>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</si>
  <si>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</si>
  <si>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</si>
  <si>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</si>
  <si>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</si>
  <si>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</si>
  <si>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</si>
  <si>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</si>
  <si>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</si>
  <si>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</si>
  <si>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</si>
  <si>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</si>
  <si>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</si>
  <si>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</si>
  <si>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</si>
  <si>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</si>
  <si>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</si>
  <si>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</si>
  <si>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</si>
  <si>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</si>
  <si>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</si>
  <si>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</si>
  <si>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</si>
  <si>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</si>
  <si>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</si>
  <si>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</si>
  <si>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</si>
  <si>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</si>
  <si>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</si>
  <si>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</si>
  <si>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</si>
  <si>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</si>
  <si>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</si>
  <si>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</si>
  <si>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</si>
  <si>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</si>
  <si>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</si>
  <si>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</si>
  <si>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</si>
  <si>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</si>
  <si>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</si>
  <si>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</si>
  <si>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</si>
  <si>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</si>
  <si>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</si>
  <si>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</si>
  <si>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</si>
  <si>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</si>
  <si>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</si>
  <si>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</si>
  <si>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</si>
  <si>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</si>
  <si>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</si>
  <si>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</si>
  <si>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</si>
  <si>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</si>
  <si>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</si>
  <si>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</si>
  <si>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</si>
  <si>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</si>
  <si>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</si>
  <si>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</si>
  <si>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</si>
  <si>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</si>
  <si>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</si>
  <si>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</si>
  <si>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</si>
  <si>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</si>
  <si>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</si>
  <si>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</si>
  <si>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</si>
  <si>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</si>
  <si>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</si>
  <si>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</si>
  <si>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</si>
  <si>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</si>
  <si>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</si>
  <si>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</si>
  <si>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</si>
  <si>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</si>
  <si>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</si>
  <si>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</si>
  <si>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</si>
  <si>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</si>
  <si>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</si>
  <si>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</si>
  <si>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</si>
  <si>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</si>
  <si>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</si>
  <si>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</si>
  <si>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</si>
  <si>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</si>
  <si>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</si>
  <si>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</si>
  <si>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</si>
  <si>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</si>
  <si>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</si>
  <si>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</si>
  <si>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</si>
  <si>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</si>
  <si>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</si>
  <si>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</si>
  <si>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</si>
  <si>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</si>
  <si>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</si>
  <si>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</si>
  <si>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</si>
  <si>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</si>
  <si>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</si>
  <si>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</si>
  <si>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</si>
  <si>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</si>
  <si>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</si>
  <si>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</si>
  <si>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</si>
  <si>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</si>
  <si>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</si>
  <si>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</si>
  <si>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</si>
  <si>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</si>
  <si>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</si>
  <si>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</si>
  <si>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</si>
  <si>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</si>
  <si>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</si>
  <si>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</si>
  <si>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</si>
  <si>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</si>
  <si>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</si>
  <si>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</si>
  <si>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</si>
  <si>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</si>
  <si>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</si>
  <si>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</si>
  <si>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</si>
  <si>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</si>
  <si>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</si>
  <si>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</si>
  <si>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</si>
  <si>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</si>
  <si>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</si>
  <si>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</si>
  <si>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</si>
  <si>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</si>
  <si>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</si>
  <si>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</si>
  <si>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</si>
  <si>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</si>
  <si>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</si>
  <si>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</si>
  <si>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</si>
  <si>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</si>
  <si>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</si>
  <si>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</si>
  <si>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</si>
  <si>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</si>
  <si>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</si>
  <si>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</si>
  <si>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</si>
  <si>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</si>
  <si>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</si>
  <si>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</si>
  <si>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</si>
  <si>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</si>
  <si>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</si>
  <si>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</si>
  <si>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</si>
  <si>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</si>
  <si>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</si>
  <si>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</si>
  <si>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</si>
  <si>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</si>
  <si>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</si>
  <si>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</si>
  <si>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</si>
  <si>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</si>
  <si>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</si>
  <si>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</si>
  <si>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</si>
  <si>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</si>
  <si>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</si>
  <si>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</si>
  <si>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</si>
  <si>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</si>
  <si>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</si>
  <si>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</si>
  <si>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</si>
  <si>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</si>
  <si>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</si>
  <si>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</si>
  <si>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</si>
  <si>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</si>
  <si>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</si>
  <si>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</si>
  <si>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</si>
  <si>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</si>
  <si>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</si>
  <si>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</si>
  <si>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</si>
  <si>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</si>
  <si>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</si>
  <si>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</si>
  <si>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</si>
  <si>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</si>
  <si>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</si>
  <si>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</si>
  <si>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</si>
  <si>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</si>
  <si>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</si>
  <si>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</si>
  <si>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</si>
  <si>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</si>
  <si>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</si>
  <si>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</si>
  <si>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</si>
  <si>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</si>
  <si>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</si>
  <si>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</si>
  <si>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</si>
  <si>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</si>
  <si>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</si>
  <si>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</si>
  <si>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</si>
  <si>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</si>
  <si>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</si>
  <si>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</si>
  <si>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</si>
  <si>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</si>
  <si>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</si>
  <si>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</si>
  <si>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</si>
  <si>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</si>
  <si>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</si>
  <si>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</si>
  <si>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</si>
  <si>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</si>
  <si>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</si>
  <si>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</si>
  <si>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</si>
  <si>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</si>
  <si>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</si>
  <si>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</si>
  <si>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</si>
  <si>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</si>
  <si>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</si>
  <si>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</si>
  <si>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</si>
  <si>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</si>
  <si>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</si>
  <si>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</si>
  <si>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</si>
  <si>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</si>
  <si>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</si>
  <si>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</si>
  <si>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</si>
  <si>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</si>
  <si>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</si>
  <si>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</si>
  <si>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</si>
  <si>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</si>
  <si>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</si>
  <si>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</si>
  <si>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</si>
  <si>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</si>
  <si>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</si>
  <si>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</si>
  <si>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</si>
  <si>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</si>
  <si>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</si>
  <si>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</si>
  <si>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</si>
  <si>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</si>
  <si>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</si>
  <si>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</si>
  <si>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</si>
  <si>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</si>
  <si>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</si>
  <si>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</si>
  <si>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</si>
  <si>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</si>
  <si>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</si>
  <si>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</si>
  <si>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</si>
  <si>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</si>
  <si>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</si>
  <si>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</si>
  <si>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</si>
  <si>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</si>
  <si>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</si>
  <si>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</si>
  <si>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</si>
  <si>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</si>
  <si>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</si>
  <si>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</si>
  <si>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</si>
  <si>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</si>
  <si>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</si>
  <si>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</si>
  <si>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</si>
  <si>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</si>
  <si>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</si>
  <si>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</si>
  <si>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</si>
  <si>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</si>
  <si>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</si>
  <si>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</si>
  <si>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</si>
  <si>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</si>
  <si>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</si>
  <si>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</si>
  <si>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</si>
  <si>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</si>
  <si>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</si>
  <si>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</si>
  <si>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</si>
  <si>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</si>
  <si>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</si>
  <si>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</si>
  <si>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</si>
  <si>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</si>
  <si>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</si>
  <si>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</si>
  <si>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</si>
  <si>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</si>
  <si>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</si>
  <si>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</si>
  <si>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</si>
  <si>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</si>
  <si>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</si>
  <si>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</si>
  <si>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</si>
  <si>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</si>
  <si>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</si>
  <si>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</si>
  <si>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</si>
  <si>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</si>
  <si>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</si>
  <si>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</si>
  <si>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</si>
  <si>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</si>
  <si>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</si>
  <si>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</si>
  <si>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</si>
  <si>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</si>
  <si>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</si>
  <si>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</si>
  <si>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</si>
  <si>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</si>
  <si>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</si>
  <si>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</si>
  <si>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</si>
  <si>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</si>
  <si>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</si>
  <si>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</si>
  <si>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</si>
  <si>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</si>
  <si>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</si>
  <si>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</si>
  <si>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</si>
  <si>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</si>
  <si>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</si>
  <si>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</si>
  <si>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</si>
  <si>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</si>
  <si>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</si>
  <si>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</si>
  <si>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</si>
  <si>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</si>
  <si>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</si>
  <si>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</si>
  <si>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</si>
  <si>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</si>
  <si>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</si>
  <si>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</si>
  <si>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</si>
  <si>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</si>
  <si>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</si>
  <si>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</si>
  <si>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</si>
  <si>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</si>
  <si>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</si>
  <si>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</si>
  <si>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</si>
  <si>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</si>
  <si>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</si>
  <si>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</si>
  <si>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</si>
  <si>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</si>
  <si>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</si>
  <si>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</si>
  <si>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</si>
  <si>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</si>
  <si>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</si>
  <si>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</si>
  <si>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</si>
  <si>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</si>
  <si>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</si>
  <si>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</si>
  <si>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</si>
  <si>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</si>
  <si>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</si>
  <si>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</si>
  <si>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</si>
  <si>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</si>
  <si>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</si>
  <si>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</si>
  <si>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</si>
  <si>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</si>
  <si>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</si>
  <si>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</si>
  <si>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</si>
  <si>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</si>
  <si>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</si>
  <si>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</si>
  <si>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</si>
  <si>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</si>
  <si>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</si>
  <si>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</si>
  <si>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</si>
  <si>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</si>
  <si>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</si>
  <si>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</si>
  <si>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</si>
  <si>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</si>
  <si>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</si>
  <si>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</si>
  <si>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</si>
  <si>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</si>
  <si>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</si>
  <si>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</si>
  <si>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</si>
  <si>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</si>
  <si>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</si>
  <si>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</si>
  <si>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</si>
  <si>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</si>
  <si>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</si>
  <si>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</si>
  <si>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</si>
  <si>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</si>
  <si>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</si>
  <si>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</si>
  <si>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</si>
  <si>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</si>
  <si>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</si>
  <si>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</si>
  <si>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</si>
  <si>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</si>
  <si>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</si>
  <si>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</si>
  <si>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</si>
  <si>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</si>
  <si>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</si>
  <si>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</si>
  <si>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</si>
  <si>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</si>
  <si>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</si>
  <si>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</si>
  <si>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</si>
  <si>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</si>
  <si>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</si>
  <si>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</si>
  <si>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</si>
  <si>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</si>
  <si>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</si>
  <si>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</si>
  <si>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</si>
  <si>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</si>
  <si>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</si>
  <si>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</si>
  <si>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</si>
  <si>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</si>
  <si>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</si>
  <si>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</si>
  <si>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</si>
  <si>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</si>
  <si>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</si>
  <si>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</si>
  <si>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</si>
  <si>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</si>
  <si>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</si>
  <si>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</si>
  <si>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</si>
  <si>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</si>
  <si>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</si>
  <si>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</si>
  <si>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</si>
  <si>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</si>
  <si>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</si>
  <si>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</si>
  <si>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</si>
  <si>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</si>
  <si>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</si>
  <si>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</si>
  <si>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</si>
  <si>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</si>
  <si>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</si>
  <si>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</si>
  <si>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</si>
  <si>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</si>
  <si>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</si>
  <si>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</si>
  <si>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</si>
  <si>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</si>
  <si>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</si>
  <si>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</si>
  <si>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</si>
  <si>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</si>
  <si>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</si>
  <si>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</si>
  <si>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</si>
  <si>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</si>
  <si>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</si>
  <si>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</si>
  <si>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</si>
  <si>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</si>
  <si>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</si>
  <si>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</si>
  <si>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</si>
  <si>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</si>
  <si>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</si>
  <si>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</si>
  <si>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</si>
  <si>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</si>
  <si>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</si>
  <si>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</si>
  <si>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</si>
  <si>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</si>
  <si>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</si>
  <si>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</si>
  <si>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</si>
  <si>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</si>
  <si>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</si>
  <si>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</si>
  <si>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</si>
  <si>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</si>
  <si>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</si>
  <si>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</si>
  <si>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</si>
  <si>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</si>
  <si>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</si>
  <si>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</si>
  <si>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</si>
  <si>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</si>
  <si>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</si>
  <si>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</si>
  <si>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</si>
  <si>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</si>
  <si>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</si>
  <si>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</si>
  <si>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</si>
  <si>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</si>
  <si>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</si>
  <si>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</si>
  <si>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</si>
  <si>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</si>
  <si>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</si>
  <si>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</si>
  <si>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</si>
  <si>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</si>
  <si>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</si>
  <si>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</si>
  <si>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</si>
  <si>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</si>
  <si>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</si>
  <si>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</si>
  <si>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</si>
  <si>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</si>
  <si>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</si>
  <si>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</si>
  <si>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</si>
  <si>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</si>
  <si>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</si>
  <si>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</si>
  <si>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</si>
  <si>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</si>
  <si>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</si>
  <si>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</si>
  <si>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</si>
  <si>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</si>
  <si>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</si>
  <si>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</si>
  <si>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</si>
  <si>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</si>
  <si>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</si>
  <si>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</si>
  <si>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</si>
  <si>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</si>
  <si>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</si>
  <si>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</si>
  <si>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</si>
  <si>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</si>
  <si>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</si>
  <si>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</si>
  <si>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</si>
  <si>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</si>
  <si>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</si>
  <si>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</si>
  <si>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</si>
  <si>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</si>
  <si>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</si>
  <si>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</si>
  <si>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</si>
  <si>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</si>
  <si>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</si>
  <si>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</si>
  <si>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</si>
  <si>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</si>
  <si>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</si>
  <si>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</si>
  <si>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</si>
  <si>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</si>
  <si>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</si>
  <si>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</si>
  <si>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</si>
  <si>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</si>
  <si>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</si>
  <si>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</si>
  <si>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</si>
  <si>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</si>
  <si>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</si>
  <si>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</si>
  <si>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</si>
  <si>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</si>
  <si>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</si>
  <si>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</si>
  <si>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</si>
  <si>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</si>
  <si>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</si>
  <si>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</si>
  <si>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</si>
  <si>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</si>
  <si>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</si>
  <si>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</si>
  <si>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</si>
  <si>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</si>
  <si>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</si>
  <si>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</si>
  <si>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</si>
  <si>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</si>
  <si>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</si>
  <si>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</si>
  <si>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</si>
  <si>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</si>
  <si>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</si>
  <si>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</si>
  <si>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</si>
  <si>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</si>
  <si>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</si>
  <si>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</si>
  <si>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</si>
  <si>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</si>
  <si>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</si>
  <si>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</si>
  <si>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</si>
  <si>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</si>
  <si>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</si>
  <si>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</si>
  <si>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</si>
  <si>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</si>
  <si>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</si>
  <si>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</si>
  <si>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</si>
  <si>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</si>
  <si>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</si>
  <si>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</si>
  <si>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</si>
  <si>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</si>
  <si>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</si>
  <si>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</si>
  <si>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</si>
  <si>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</si>
  <si>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</si>
  <si>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</si>
  <si>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</si>
  <si>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</si>
  <si>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</si>
  <si>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</si>
  <si>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</si>
  <si>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</si>
  <si>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</si>
  <si>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</si>
  <si>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</si>
  <si>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</si>
  <si>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</si>
  <si>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</si>
  <si>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</si>
  <si>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</si>
  <si>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</si>
  <si>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</si>
  <si>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</si>
  <si>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</si>
  <si>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</si>
  <si>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</si>
  <si>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</si>
  <si>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</si>
  <si>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</si>
  <si>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</si>
  <si>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</si>
  <si>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</si>
  <si>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</si>
  <si>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</si>
  <si>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</si>
  <si>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</si>
  <si>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</si>
  <si>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</si>
  <si>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</si>
  <si>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</si>
  <si>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</si>
  <si>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</si>
  <si>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</si>
  <si>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</si>
  <si>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</si>
  <si>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</si>
  <si>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</si>
  <si>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</si>
  <si>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</si>
  <si>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</si>
  <si>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</si>
  <si>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</si>
  <si>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</si>
  <si>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</si>
  <si>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</si>
  <si>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</si>
  <si>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</si>
  <si>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</si>
  <si>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</si>
  <si>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</si>
  <si>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</si>
  <si>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</si>
  <si>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</si>
  <si>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</si>
  <si>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</si>
  <si>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</si>
  <si>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</si>
  <si>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</si>
  <si>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</si>
  <si>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</si>
  <si>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</si>
  <si>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</si>
  <si>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</si>
  <si>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</si>
  <si>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</si>
  <si>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</si>
  <si>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</si>
  <si>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</si>
  <si>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</si>
  <si>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</si>
  <si>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</si>
  <si>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</si>
  <si>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</si>
  <si>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</si>
  <si>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</si>
  <si>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</si>
  <si>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</si>
  <si>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</si>
  <si>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</si>
  <si>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</si>
  <si>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</si>
  <si>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</si>
  <si>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</si>
  <si>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</si>
  <si>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</si>
  <si>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</si>
  <si>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</si>
  <si>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</si>
  <si>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</si>
  <si>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</si>
  <si>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</si>
  <si>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</si>
  <si>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</si>
  <si>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</si>
  <si>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</si>
  <si>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</si>
  <si>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</si>
  <si>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</si>
  <si>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</si>
  <si>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</si>
  <si>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</si>
  <si>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</si>
  <si>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</si>
  <si>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</si>
  <si>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</si>
  <si>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</si>
  <si>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</si>
  <si>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</si>
  <si>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</si>
  <si>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</si>
  <si>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</si>
  <si>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</si>
  <si>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</si>
  <si>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</si>
  <si>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</si>
  <si>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</si>
  <si>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</si>
  <si>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</si>
  <si>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</si>
  <si>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</si>
  <si>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</si>
  <si>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</si>
  <si>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</si>
  <si>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</si>
  <si>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</si>
  <si>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</si>
  <si>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</si>
  <si>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</si>
  <si>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</si>
  <si>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</si>
  <si>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</si>
  <si>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</si>
  <si>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</si>
  <si>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</si>
  <si>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</si>
  <si>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</si>
  <si>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</si>
  <si>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</si>
  <si>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</si>
  <si>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</si>
  <si>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</si>
  <si>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</si>
  <si>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</si>
  <si>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</si>
  <si>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</si>
  <si>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</si>
  <si>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</si>
  <si>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</si>
  <si>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</si>
  <si>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</si>
  <si>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</si>
  <si>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</si>
  <si>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</si>
  <si>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</si>
  <si>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</si>
  <si>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</si>
  <si>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</si>
  <si>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</si>
  <si>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</si>
  <si>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</si>
  <si>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</si>
  <si>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</si>
  <si>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</si>
  <si>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</si>
  <si>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</si>
  <si>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</si>
  <si>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</si>
  <si>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</si>
  <si>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</si>
  <si>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</si>
  <si>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</si>
  <si>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</si>
  <si>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</si>
  <si>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</si>
  <si>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</si>
  <si>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</si>
  <si>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</si>
  <si>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</si>
  <si>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</si>
  <si>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</si>
  <si>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</si>
  <si>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</si>
  <si>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</si>
  <si>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</si>
  <si>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</si>
  <si>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</si>
  <si>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</si>
  <si>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</si>
  <si>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</si>
  <si>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</si>
  <si>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</si>
  <si>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</si>
  <si>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</si>
  <si>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</si>
  <si>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</si>
  <si>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</si>
  <si>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</si>
  <si>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</si>
  <si>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</si>
  <si>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</si>
  <si>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</si>
  <si>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</si>
  <si>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</si>
  <si>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</si>
  <si>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</si>
  <si>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</si>
  <si>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</si>
  <si>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</si>
  <si>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</si>
  <si>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</si>
  <si>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</si>
  <si>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</si>
  <si>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</si>
  <si>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</si>
  <si>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</si>
  <si>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</si>
  <si>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</si>
  <si>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</si>
  <si>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</si>
  <si>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</si>
  <si>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</si>
  <si>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</si>
  <si>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</si>
  <si>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</si>
  <si>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</si>
  <si>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</si>
  <si>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</si>
  <si>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</si>
  <si>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</si>
  <si>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</si>
  <si>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</si>
  <si>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</si>
  <si>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</si>
  <si>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</si>
  <si>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</si>
  <si>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</si>
  <si>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</si>
  <si>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</si>
  <si>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</si>
  <si>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</si>
  <si>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</si>
  <si>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</si>
  <si>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</si>
  <si>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</si>
  <si>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</si>
  <si>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</si>
  <si>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</si>
  <si>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</si>
  <si>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</si>
  <si>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</si>
  <si>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</si>
  <si>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</si>
  <si>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</si>
  <si>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</si>
  <si>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</si>
  <si>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</si>
  <si>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</si>
  <si>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</si>
  <si>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</si>
  <si>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</si>
  <si>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</si>
  <si>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</si>
  <si>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</si>
  <si>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</si>
  <si>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</si>
  <si>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</si>
  <si>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</si>
  <si>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</si>
  <si>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</si>
  <si>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</si>
  <si>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</si>
  <si>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</si>
  <si>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</si>
  <si>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</si>
  <si>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</si>
  <si>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</si>
  <si>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</si>
  <si>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</si>
  <si>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</si>
  <si>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</si>
  <si>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</si>
  <si>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</si>
  <si>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</si>
  <si>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</si>
  <si>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</si>
  <si>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</si>
  <si>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</si>
  <si>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</si>
  <si>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</si>
  <si>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</si>
  <si>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</si>
  <si>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</si>
  <si>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</si>
  <si>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</si>
  <si>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</si>
  <si>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</si>
  <si>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</si>
  <si>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</si>
  <si>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</si>
  <si>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</si>
  <si>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</si>
  <si>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</si>
  <si>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</si>
  <si>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</si>
  <si>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</si>
  <si>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</si>
  <si>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</si>
  <si>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</si>
  <si>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</si>
  <si>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</si>
  <si>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</si>
  <si>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</si>
  <si>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</si>
  <si>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</si>
  <si>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</si>
  <si>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</si>
  <si>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</si>
  <si>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</si>
  <si>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</si>
  <si>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</si>
  <si>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</si>
  <si>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</si>
  <si>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</si>
  <si>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</si>
  <si>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</si>
  <si>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</si>
  <si>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</si>
  <si>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</si>
  <si>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</si>
  <si>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</si>
  <si>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</si>
  <si>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</si>
  <si>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</si>
  <si>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</si>
  <si>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</si>
  <si>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</si>
  <si>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</si>
  <si>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</si>
  <si>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</si>
  <si>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</si>
  <si>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</si>
  <si>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</si>
  <si>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</si>
  <si>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</si>
  <si>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</si>
  <si>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</si>
  <si>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</si>
  <si>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</si>
  <si>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</si>
  <si>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</si>
  <si>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</si>
  <si>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</si>
  <si>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</si>
  <si>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</si>
  <si>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</si>
  <si>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</si>
  <si>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</si>
  <si>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</si>
  <si>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</si>
  <si>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</si>
  <si>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</si>
  <si>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</si>
  <si>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</si>
  <si>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</si>
  <si>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</si>
  <si>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</si>
  <si>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</si>
  <si>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</si>
  <si>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</si>
  <si>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</si>
  <si>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</si>
  <si>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</si>
  <si>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</si>
  <si>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</si>
  <si>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</si>
  <si>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</si>
  <si>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</si>
  <si>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</si>
  <si>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</si>
  <si>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</si>
  <si>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</si>
  <si>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</si>
  <si>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</si>
  <si>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</si>
  <si>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</si>
  <si>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</si>
  <si>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</si>
  <si>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</si>
  <si>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</si>
  <si>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</si>
  <si>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</si>
  <si>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</si>
  <si>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</si>
  <si>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</si>
  <si>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</si>
  <si>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</si>
  <si>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</si>
  <si>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</si>
  <si>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</si>
  <si>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</si>
  <si>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</si>
  <si>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</si>
  <si>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</si>
  <si>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</si>
  <si>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</si>
  <si>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</si>
  <si>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</si>
  <si>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</si>
  <si>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</si>
  <si>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</si>
  <si>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</si>
  <si>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</si>
  <si>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</si>
  <si>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</si>
  <si>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</si>
  <si>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</si>
  <si>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</si>
  <si>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</si>
  <si>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</si>
  <si>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</si>
  <si>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</si>
  <si>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</si>
  <si>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</si>
  <si>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</si>
  <si>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</si>
  <si>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</si>
  <si>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</si>
  <si>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</si>
  <si>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</si>
  <si>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</si>
  <si>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</si>
  <si>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</si>
  <si>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</si>
  <si>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</si>
  <si>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</si>
  <si>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</si>
  <si>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</si>
  <si>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</si>
  <si>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</si>
  <si>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</si>
  <si>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</si>
  <si>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</si>
  <si>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</si>
  <si>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</si>
  <si>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</si>
  <si>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</si>
  <si>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</si>
  <si>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</si>
  <si>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</si>
  <si>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</si>
  <si>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</si>
  <si>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</si>
  <si>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</si>
  <si>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</si>
  <si>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</si>
  <si>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</si>
  <si>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</si>
  <si>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</si>
  <si>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</si>
  <si>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</si>
  <si>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</si>
  <si>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</si>
  <si>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</si>
  <si>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</si>
  <si>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</si>
  <si>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</si>
  <si>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</si>
  <si>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</si>
  <si>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</si>
  <si>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</si>
  <si>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</si>
  <si>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</si>
  <si>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</si>
  <si>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</si>
  <si>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</si>
  <si>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</si>
  <si>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</si>
  <si>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</si>
  <si>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</si>
  <si>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</si>
  <si>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</si>
  <si>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</si>
  <si>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</si>
  <si>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</si>
  <si>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</si>
  <si>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</si>
  <si>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</si>
  <si>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</si>
  <si>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</si>
  <si>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</si>
  <si>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</si>
  <si>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</si>
  <si>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</si>
  <si>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</si>
  <si>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</si>
  <si>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</si>
  <si>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</si>
  <si>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</si>
  <si>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</si>
  <si>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</si>
  <si>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</si>
  <si>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</si>
  <si>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</si>
  <si>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</si>
  <si>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</si>
  <si>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</si>
  <si>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</si>
  <si>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</si>
  <si>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</si>
  <si>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</si>
  <si>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</si>
  <si>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</si>
  <si>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</si>
  <si>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</si>
  <si>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</si>
  <si>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</si>
  <si>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</si>
  <si>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</si>
  <si>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</si>
  <si>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</si>
  <si>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</si>
  <si>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</si>
  <si>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</si>
  <si>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</si>
  <si>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</si>
  <si>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</si>
  <si>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</si>
  <si>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</si>
  <si>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</si>
  <si>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</si>
  <si>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</si>
  <si>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</si>
  <si>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</si>
  <si>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</si>
  <si>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</si>
  <si>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</si>
  <si>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</si>
  <si>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</si>
  <si>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</si>
  <si>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</si>
  <si>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</si>
  <si>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</si>
  <si>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</si>
  <si>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</si>
  <si>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</si>
  <si>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</si>
  <si>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</si>
  <si>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</si>
  <si>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</si>
  <si>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</si>
  <si>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</si>
  <si>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</si>
  <si>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</si>
  <si>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</si>
  <si>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</si>
  <si>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</si>
  <si>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</si>
  <si>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</si>
  <si>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</si>
  <si>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</si>
  <si>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</si>
  <si>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</si>
  <si>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</si>
  <si>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</si>
  <si>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</si>
  <si>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</si>
  <si>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</si>
  <si>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</si>
  <si>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</si>
  <si>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</si>
  <si>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</si>
  <si>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</si>
  <si>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</si>
  <si>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</si>
  <si>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</si>
  <si>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</si>
  <si>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</si>
  <si>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</si>
  <si>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</si>
  <si>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</si>
  <si>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</si>
  <si>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</si>
  <si>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</si>
  <si>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</si>
  <si>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</si>
  <si>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</si>
  <si>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</si>
  <si>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</si>
  <si>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</si>
  <si>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</si>
  <si>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</si>
  <si>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</si>
  <si>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</si>
  <si>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</si>
  <si>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</si>
  <si>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</si>
  <si>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</si>
  <si>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</si>
  <si>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</si>
  <si>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</si>
  <si>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</si>
  <si>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</si>
  <si>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</si>
  <si>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</si>
  <si>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</si>
  <si>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</si>
  <si>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</si>
  <si>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</si>
  <si>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</si>
  <si>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</si>
  <si>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</si>
  <si>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</si>
  <si>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</si>
  <si>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</si>
  <si>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</si>
  <si>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</si>
  <si>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</si>
  <si>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</si>
  <si>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</si>
  <si>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</si>
  <si>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</si>
  <si>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</si>
  <si>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</si>
  <si>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</si>
  <si>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</si>
  <si>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</si>
  <si>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</si>
  <si>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</si>
  <si>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</si>
  <si>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</si>
  <si>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</si>
  <si>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</si>
  <si>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</si>
  <si>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</si>
  <si>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</si>
  <si>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</si>
  <si>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</si>
  <si>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</si>
  <si>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</si>
  <si>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</si>
  <si>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</si>
  <si>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</si>
  <si>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</si>
  <si>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</si>
  <si>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</si>
  <si>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</si>
  <si>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</si>
  <si>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</si>
  <si>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</si>
  <si>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</si>
  <si>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</si>
  <si>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</si>
  <si>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</si>
  <si>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</si>
  <si>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</si>
  <si>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</si>
  <si>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</si>
  <si>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</si>
  <si>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</si>
  <si>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</si>
  <si>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</si>
  <si>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</si>
  <si>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</si>
  <si>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</si>
  <si>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</si>
  <si>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</si>
  <si>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</si>
  <si>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</si>
  <si>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</si>
  <si>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</si>
  <si>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</si>
  <si>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</si>
  <si>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</si>
  <si>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</si>
  <si>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</si>
  <si>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</si>
  <si>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</si>
  <si>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</si>
  <si>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</si>
  <si>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</si>
  <si>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</si>
  <si>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</si>
  <si>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</si>
  <si>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</si>
  <si>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</si>
  <si>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</si>
  <si>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</si>
  <si>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</si>
  <si>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</si>
  <si>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</si>
  <si>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</si>
  <si>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</si>
  <si>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</si>
  <si>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</si>
  <si>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</si>
  <si>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</si>
  <si>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</si>
  <si>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</si>
  <si>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</si>
  <si>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</si>
  <si>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</si>
  <si>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</si>
  <si>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</si>
  <si>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</si>
  <si>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</si>
  <si>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</si>
  <si>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</si>
  <si>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</si>
  <si>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</si>
  <si>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</si>
  <si>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</si>
  <si>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</si>
  <si>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</si>
  <si>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</si>
  <si>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</si>
  <si>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</si>
  <si>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</si>
  <si>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</si>
  <si>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</si>
  <si>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</si>
  <si>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</si>
  <si>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</si>
  <si>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</si>
  <si>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</si>
  <si>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</si>
  <si>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</si>
  <si>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</si>
  <si>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</si>
  <si>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</si>
  <si>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</si>
  <si>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</si>
  <si>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</si>
  <si>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</si>
  <si>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</si>
  <si>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</si>
  <si>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</si>
  <si>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</si>
  <si>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</si>
  <si>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</si>
  <si>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</si>
  <si>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</si>
  <si>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</si>
  <si>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</si>
  <si>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</si>
  <si>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</si>
  <si>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</si>
  <si>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</si>
  <si>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</si>
  <si>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</si>
  <si>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</si>
  <si>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</si>
  <si>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</si>
  <si>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</si>
  <si>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</si>
  <si>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</si>
  <si>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</si>
  <si>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</si>
  <si>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</si>
  <si>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</si>
  <si>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</si>
  <si>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</si>
  <si>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</si>
  <si>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</si>
  <si>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</si>
  <si>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</si>
  <si>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</si>
  <si>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</si>
  <si>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</si>
  <si>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</si>
  <si>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</si>
  <si>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</si>
  <si>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</si>
  <si>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</si>
  <si>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</si>
  <si>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</si>
  <si>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</si>
  <si>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</si>
  <si>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</si>
  <si>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</si>
  <si>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</si>
  <si>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</si>
  <si>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</si>
  <si>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</si>
  <si>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</si>
  <si>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</si>
  <si>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</si>
  <si>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</si>
  <si>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</si>
  <si>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</si>
  <si>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</si>
  <si>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</si>
  <si>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</si>
  <si>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</si>
  <si>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</si>
  <si>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</si>
  <si>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</si>
  <si>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</si>
  <si>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</si>
  <si>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</si>
  <si>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</si>
  <si>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</si>
  <si>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</si>
  <si>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</si>
  <si>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</si>
  <si>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</si>
  <si>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</si>
  <si>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</si>
  <si>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</si>
  <si>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</si>
  <si>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</si>
  <si>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</si>
  <si>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</si>
  <si>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</si>
  <si>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</si>
  <si>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</si>
  <si>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</si>
  <si>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</si>
  <si>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</si>
  <si>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</si>
  <si>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</si>
  <si>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</si>
  <si>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</si>
  <si>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</si>
  <si>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</si>
  <si>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</si>
  <si>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</si>
  <si>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</si>
  <si>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</si>
  <si>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</si>
  <si>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</si>
  <si>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</si>
  <si>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</si>
  <si>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</si>
  <si>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</si>
  <si>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</si>
  <si>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</si>
  <si>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</si>
  <si>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</si>
  <si>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</si>
  <si>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</si>
  <si>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</si>
  <si>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</si>
  <si>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</si>
  <si>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</si>
  <si>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</si>
  <si>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</si>
  <si>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</si>
  <si>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</si>
  <si>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</si>
  <si>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</si>
  <si>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</si>
  <si>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</si>
  <si>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</si>
  <si>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</si>
  <si>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</si>
  <si>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</si>
  <si>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</si>
  <si>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</si>
  <si>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</si>
  <si>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</si>
  <si>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</si>
  <si>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</si>
  <si>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</si>
  <si>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</si>
  <si>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</si>
  <si>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</si>
  <si>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</si>
  <si>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</si>
  <si>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</si>
  <si>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</si>
  <si>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</si>
  <si>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</si>
  <si>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</si>
  <si>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</si>
  <si>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</si>
  <si>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</si>
  <si>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</si>
  <si>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</si>
  <si>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</si>
  <si>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</si>
  <si>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</si>
  <si>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</si>
  <si>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</si>
  <si>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</si>
  <si>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</si>
  <si>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</si>
  <si>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</si>
  <si>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</si>
  <si>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</si>
  <si>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</si>
  <si>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</si>
  <si>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</si>
  <si>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</si>
  <si>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</si>
  <si>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</si>
  <si>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</si>
  <si>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</si>
  <si>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</si>
  <si>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</si>
  <si>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</si>
  <si>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</si>
  <si>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</si>
  <si>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</si>
  <si>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</si>
  <si>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</si>
  <si>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</si>
  <si>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</si>
  <si>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</si>
  <si>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</si>
  <si>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</si>
  <si>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</si>
  <si>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</si>
  <si>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</si>
  <si>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</si>
  <si>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</si>
  <si>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</si>
  <si>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</si>
  <si>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</si>
  <si>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</si>
  <si>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</si>
  <si>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</si>
  <si>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</si>
  <si>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</si>
  <si>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</si>
  <si>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</si>
  <si>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</si>
  <si>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</si>
  <si>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</si>
  <si>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</si>
  <si>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</si>
  <si>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</si>
  <si>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</si>
  <si>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</si>
  <si>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</si>
  <si>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</si>
  <si>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</si>
  <si>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</si>
  <si>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</si>
  <si>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</si>
  <si>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</si>
  <si>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</si>
  <si>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</si>
  <si>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</si>
  <si>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</si>
  <si>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</si>
  <si>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</si>
  <si>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</si>
  <si>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</si>
  <si>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</si>
  <si>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</si>
  <si>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</si>
  <si>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</si>
  <si>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</si>
  <si>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</si>
  <si>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</si>
  <si>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</si>
  <si>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</si>
  <si>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</si>
  <si>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</si>
  <si>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</si>
  <si>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</si>
  <si>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</si>
  <si>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</si>
  <si>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</si>
  <si>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</si>
  <si>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</si>
  <si>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</si>
  <si>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</si>
  <si>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</si>
  <si>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</si>
  <si>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</si>
  <si>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</si>
  <si>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</si>
  <si>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</si>
  <si>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</si>
  <si>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</si>
  <si>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</si>
  <si>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</si>
  <si>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</si>
  <si>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</si>
  <si>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</si>
  <si>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</si>
  <si>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</si>
  <si>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</si>
  <si>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</si>
  <si>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</si>
  <si>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</si>
  <si>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</si>
  <si>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</si>
  <si>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</si>
  <si>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</si>
  <si>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</si>
  <si>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</si>
  <si>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</si>
  <si>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</si>
  <si>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</si>
  <si>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</si>
  <si>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</si>
  <si>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</si>
  <si>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</si>
  <si>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</si>
  <si>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</si>
  <si>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</si>
  <si>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</si>
  <si>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</si>
  <si>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</si>
  <si>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</si>
  <si>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</si>
  <si>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</si>
  <si>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</si>
  <si>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</si>
  <si>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</si>
  <si>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</si>
  <si>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</si>
  <si>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</si>
  <si>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</si>
  <si>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</si>
  <si>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</si>
  <si>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</si>
  <si>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</si>
  <si>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</si>
  <si>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</si>
  <si>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</si>
  <si>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</si>
  <si>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</si>
  <si>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</si>
  <si>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</si>
  <si>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</si>
  <si>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</si>
  <si>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</si>
  <si>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</si>
  <si>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</si>
  <si>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</si>
  <si>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</si>
  <si>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</si>
  <si>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</si>
  <si>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</si>
  <si>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</si>
  <si>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</si>
  <si>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</si>
  <si>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</si>
  <si>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</si>
  <si>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</si>
  <si>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</si>
  <si>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</si>
  <si>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</si>
  <si>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</si>
  <si>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</si>
  <si>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</si>
  <si>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</si>
  <si>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</si>
  <si>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</si>
  <si>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</si>
  <si>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</si>
  <si>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</si>
  <si>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</si>
  <si>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</si>
  <si>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</si>
  <si>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</si>
  <si>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</si>
  <si>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</si>
  <si>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</si>
  <si>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</si>
  <si>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</si>
  <si>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</si>
  <si>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</si>
  <si>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</si>
  <si>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</si>
  <si>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</si>
  <si>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</si>
  <si>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</si>
  <si>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</si>
  <si>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</si>
  <si>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</si>
  <si>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</si>
  <si>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</si>
  <si>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</si>
  <si>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</si>
  <si>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</si>
  <si>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</si>
  <si>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</si>
  <si>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</si>
  <si>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</si>
  <si>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</si>
  <si>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</si>
  <si>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</si>
  <si>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</si>
  <si>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</si>
  <si>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</si>
  <si>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</si>
  <si>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</si>
  <si>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</si>
  <si>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</si>
  <si>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</si>
  <si>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</si>
  <si>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</si>
  <si>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</si>
  <si>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</si>
  <si>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</si>
  <si>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</si>
  <si>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</si>
  <si>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</si>
  <si>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</si>
  <si>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</si>
  <si>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</si>
  <si>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</si>
  <si>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</si>
  <si>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</si>
  <si>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</si>
  <si>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</si>
  <si>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</si>
  <si>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</si>
  <si>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</si>
  <si>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</si>
  <si>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</si>
  <si>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</si>
  <si>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</si>
  <si>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</si>
  <si>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</si>
  <si>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</si>
  <si>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</si>
  <si>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</si>
  <si>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</si>
  <si>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</si>
  <si>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</si>
  <si>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</si>
  <si>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</si>
  <si>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</si>
  <si>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</si>
  <si>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</si>
  <si>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</si>
  <si>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</si>
  <si>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</si>
  <si>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</si>
  <si>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</si>
  <si>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</si>
  <si>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</si>
  <si>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</si>
  <si>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</si>
  <si>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</si>
  <si>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</si>
  <si>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</si>
  <si>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</si>
  <si>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</si>
  <si>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</si>
  <si>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</si>
  <si>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</si>
  <si>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</si>
  <si>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</si>
  <si>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</si>
  <si>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</si>
  <si>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</si>
  <si>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</si>
  <si>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</si>
  <si>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</si>
  <si>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</si>
  <si>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</si>
  <si>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</si>
  <si>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</si>
  <si>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</si>
  <si>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</si>
  <si>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</si>
  <si>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</si>
  <si>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</si>
  <si>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</si>
  <si>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</si>
  <si>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</si>
  <si>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</si>
  <si>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</si>
  <si>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</si>
  <si>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</si>
  <si>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</si>
  <si>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</si>
  <si>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</si>
  <si>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</si>
  <si>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</si>
  <si>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</si>
  <si>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</si>
  <si>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</si>
  <si>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</si>
  <si>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</si>
  <si>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</si>
  <si>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</si>
  <si>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</si>
  <si>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</si>
  <si>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</si>
  <si>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</si>
  <si>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</si>
  <si>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</si>
  <si>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</si>
  <si>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</si>
  <si>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</si>
  <si>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</si>
  <si>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</si>
  <si>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</si>
  <si>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</si>
  <si>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</si>
  <si>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</si>
  <si>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</si>
  <si>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</si>
  <si>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</si>
  <si>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</si>
  <si>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</si>
  <si>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</si>
  <si>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</si>
  <si>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</si>
  <si>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</si>
  <si>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</si>
  <si>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</si>
  <si>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</si>
  <si>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</si>
  <si>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</si>
  <si>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</si>
  <si>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</si>
  <si>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</si>
  <si>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</si>
  <si>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</si>
  <si>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</si>
  <si>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</si>
  <si>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</si>
  <si>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</si>
  <si>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</si>
  <si>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</si>
  <si>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</si>
  <si>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</si>
  <si>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</si>
  <si>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</si>
  <si>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</si>
  <si>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</si>
  <si>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</si>
  <si>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</si>
  <si>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</si>
  <si>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</si>
  <si>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</si>
  <si>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</si>
  <si>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</si>
  <si>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</si>
  <si>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</si>
  <si>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</si>
  <si>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</si>
  <si>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</si>
  <si>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</si>
  <si>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</si>
  <si>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</si>
  <si>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</si>
  <si>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</si>
  <si>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</si>
  <si>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</si>
  <si>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</si>
  <si>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</si>
  <si>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</si>
  <si>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</si>
  <si>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</si>
  <si>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</si>
  <si>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</si>
  <si>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</si>
  <si>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</si>
  <si>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</si>
  <si>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</si>
  <si>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</si>
  <si>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</si>
  <si>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</si>
  <si>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</si>
  <si>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</si>
  <si>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</si>
  <si>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</si>
  <si>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</si>
  <si>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</si>
  <si>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</si>
  <si>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</si>
  <si>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</si>
  <si>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</si>
  <si>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</si>
  <si>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</si>
  <si>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</si>
  <si>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</si>
  <si>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</si>
  <si>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</si>
  <si>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</si>
  <si>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</si>
  <si>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</si>
  <si>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</si>
  <si>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</si>
  <si>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</si>
  <si>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</si>
  <si>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</si>
  <si>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</si>
  <si>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</si>
  <si>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</si>
  <si>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</si>
  <si>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</si>
  <si>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</si>
  <si>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</si>
  <si>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</si>
  <si>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</si>
  <si>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</si>
  <si>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</si>
  <si>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</si>
  <si>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</si>
  <si>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</si>
  <si>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</si>
  <si>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</si>
  <si>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</si>
  <si>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</si>
  <si>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</si>
  <si>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</si>
  <si>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</si>
  <si>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</si>
  <si>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</si>
  <si>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</si>
  <si>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</si>
  <si>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</si>
  <si>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</si>
  <si>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</si>
  <si>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</si>
  <si>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</si>
  <si>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</si>
  <si>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</si>
  <si>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</si>
  <si>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</si>
  <si>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</si>
  <si>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</si>
  <si>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</si>
  <si>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</si>
  <si>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</si>
  <si>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</si>
  <si>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</si>
  <si>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</si>
  <si>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</si>
  <si>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</si>
  <si>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</si>
  <si>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</si>
  <si>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</si>
  <si>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</si>
  <si>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</si>
  <si>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</si>
  <si>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</si>
  <si>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</si>
  <si>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</si>
  <si>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</si>
  <si>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</si>
  <si>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</si>
  <si>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</si>
  <si>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</si>
  <si>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</si>
  <si>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</si>
  <si>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</si>
  <si>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</si>
  <si>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</si>
  <si>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</si>
  <si>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</si>
  <si>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</si>
  <si>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</si>
  <si>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</si>
  <si>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</si>
  <si>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</si>
  <si>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</si>
  <si>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</si>
  <si>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</si>
  <si>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</si>
  <si>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</si>
  <si>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</si>
  <si>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</si>
  <si>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</si>
  <si>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</si>
  <si>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</si>
  <si>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</si>
  <si>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</si>
  <si>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</si>
  <si>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</si>
  <si>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</si>
  <si>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</si>
  <si>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</si>
  <si>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</si>
  <si>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</si>
  <si>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</si>
  <si>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</si>
  <si>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</si>
  <si>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</si>
  <si>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</si>
  <si>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</si>
  <si>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</si>
  <si>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</si>
  <si>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</si>
  <si>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</si>
  <si>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</si>
  <si>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</si>
  <si>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</si>
  <si>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</si>
  <si>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</si>
  <si>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</si>
  <si>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</si>
  <si>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</si>
  <si>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</si>
  <si>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</si>
  <si>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</si>
  <si>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</si>
  <si>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</si>
  <si>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</si>
  <si>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</si>
  <si>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</si>
  <si>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</si>
  <si>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</si>
  <si>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</si>
  <si>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</si>
  <si>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</si>
  <si>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</si>
  <si>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</si>
  <si>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</si>
  <si>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</si>
  <si>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</si>
  <si>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</si>
  <si>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</si>
  <si>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</si>
  <si>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</si>
  <si>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</si>
  <si>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</si>
  <si>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</si>
  <si>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</si>
  <si>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</si>
  <si>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</si>
  <si>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</si>
  <si>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</si>
  <si>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</si>
  <si>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</si>
  <si>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</si>
  <si>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</si>
  <si>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</si>
  <si>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</si>
  <si>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</si>
  <si>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</si>
  <si>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</si>
  <si>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</si>
  <si>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</si>
  <si>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</si>
  <si>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</si>
  <si>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</si>
  <si>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</si>
  <si>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</si>
  <si>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</si>
  <si>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</si>
  <si>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</si>
  <si>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</si>
  <si>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</si>
  <si>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</si>
  <si>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</si>
  <si>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</si>
  <si>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</si>
  <si>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</si>
  <si>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</si>
  <si>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</si>
  <si>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</si>
  <si>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</si>
  <si>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</si>
  <si>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</si>
  <si>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</si>
  <si>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</si>
  <si>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</si>
  <si>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</si>
  <si>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</si>
  <si>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</si>
  <si>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</si>
  <si>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</si>
  <si>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</si>
  <si>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</si>
  <si>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</si>
  <si>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</si>
  <si>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</si>
  <si>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</si>
  <si>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</si>
  <si>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</si>
  <si>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</si>
  <si>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</si>
  <si>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</si>
  <si>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</si>
  <si>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</si>
  <si>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</si>
  <si>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</si>
  <si>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</si>
  <si>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</si>
  <si>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</si>
  <si>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</si>
  <si>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</si>
  <si>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</si>
  <si>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</si>
  <si>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</si>
  <si>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</si>
  <si>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</si>
  <si>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</si>
  <si>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</si>
  <si>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</si>
  <si>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</si>
  <si>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</si>
  <si>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</si>
  <si>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</si>
  <si>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</si>
  <si>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</si>
  <si>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</si>
  <si>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</si>
  <si>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</si>
  <si>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</si>
  <si>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</si>
  <si>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</si>
  <si>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</si>
  <si>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</si>
  <si>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</si>
  <si>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</si>
  <si>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</si>
  <si>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</si>
  <si>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</si>
  <si>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</si>
  <si>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</si>
  <si>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</si>
  <si>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</si>
  <si>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</si>
  <si>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</si>
  <si>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</si>
  <si>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</si>
  <si>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</si>
  <si>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</si>
  <si>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</si>
  <si>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</si>
  <si>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</si>
  <si>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</si>
  <si>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</si>
  <si>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</si>
  <si>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</si>
  <si>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</si>
  <si>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</si>
  <si>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</si>
  <si>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</si>
  <si>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</si>
  <si>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</si>
  <si>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</si>
  <si>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</si>
  <si>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</si>
  <si>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</si>
  <si>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</si>
  <si>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</si>
  <si>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</si>
  <si>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</si>
  <si>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</si>
  <si>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</si>
  <si>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</si>
  <si>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</si>
  <si>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</si>
  <si>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</si>
  <si>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</si>
  <si>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</si>
  <si>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</si>
  <si>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</si>
  <si>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</si>
  <si>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</si>
  <si>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</si>
  <si>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</si>
  <si>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</si>
  <si>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</si>
  <si>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</si>
  <si>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</si>
  <si>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</si>
  <si>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</si>
  <si>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</si>
  <si>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</si>
  <si>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</si>
  <si>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</si>
  <si>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</si>
  <si>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</si>
  <si>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</si>
  <si>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</si>
  <si>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</si>
  <si>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</si>
  <si>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</si>
  <si>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</si>
  <si>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</si>
  <si>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</si>
  <si>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</si>
  <si>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</si>
  <si>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</si>
  <si>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</si>
  <si>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</si>
  <si>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</si>
  <si>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</si>
  <si>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</si>
  <si>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</si>
  <si>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</si>
  <si>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</si>
  <si>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</si>
  <si>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</si>
  <si>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</si>
  <si>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</si>
  <si>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</si>
  <si>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</si>
  <si>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</si>
  <si>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</si>
  <si>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</si>
  <si>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</si>
  <si>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</si>
  <si>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</si>
  <si>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</si>
  <si>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</si>
  <si>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</si>
  <si>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</si>
  <si>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</si>
  <si>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</si>
  <si>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</si>
  <si>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</si>
  <si>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</si>
  <si>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</si>
  <si>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</si>
  <si>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</si>
  <si>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</si>
  <si>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</si>
  <si>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</si>
  <si>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</si>
  <si>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</si>
  <si>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</si>
  <si>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</si>
  <si>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</si>
  <si>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</si>
  <si>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</si>
  <si>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</si>
  <si>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</si>
  <si>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</si>
  <si>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</si>
  <si>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</si>
  <si>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</si>
  <si>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</si>
  <si>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</si>
  <si>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</si>
  <si>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</si>
  <si>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</si>
  <si>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</si>
  <si>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</si>
  <si>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</si>
  <si>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</si>
  <si>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</si>
  <si>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</si>
  <si>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</si>
  <si>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</si>
  <si>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</si>
  <si>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</si>
  <si>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</si>
  <si>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</si>
  <si>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</si>
  <si>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</si>
  <si>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</si>
  <si>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</si>
  <si>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</si>
  <si>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</si>
  <si>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</si>
  <si>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</si>
  <si>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</si>
  <si>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</si>
  <si>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</si>
  <si>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</si>
  <si>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</si>
  <si>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</si>
  <si>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</si>
  <si>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</si>
  <si>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</si>
  <si>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</si>
  <si>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</si>
  <si>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</si>
  <si>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</si>
  <si>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</si>
  <si>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</si>
  <si>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</si>
  <si>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</si>
  <si>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</si>
  <si>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</si>
  <si>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</si>
  <si>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</si>
  <si>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</si>
  <si>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</si>
  <si>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</si>
  <si>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</si>
  <si>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</si>
  <si>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</si>
  <si>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</si>
  <si>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</si>
  <si>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</si>
  <si>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</si>
  <si>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</si>
  <si>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</si>
  <si>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</si>
  <si>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</si>
  <si>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</si>
  <si>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</si>
  <si>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</si>
  <si>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</si>
  <si>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</si>
  <si>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</si>
  <si>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</si>
  <si>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</si>
  <si>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</si>
  <si>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</si>
  <si>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</si>
  <si>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</si>
  <si>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</si>
  <si>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</si>
  <si>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</si>
  <si>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</si>
  <si>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</si>
  <si>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</si>
  <si>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</si>
  <si>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</si>
  <si>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</si>
  <si>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</si>
  <si>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</si>
  <si>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</si>
  <si>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</si>
  <si>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</si>
  <si>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</si>
  <si>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</si>
  <si>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</si>
  <si>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</si>
  <si>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</si>
  <si>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</si>
  <si>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</si>
  <si>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</si>
  <si>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</si>
  <si>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</si>
  <si>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</si>
  <si>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</si>
  <si>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</si>
  <si>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</si>
  <si>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</si>
  <si>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</si>
  <si>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</si>
  <si>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</si>
  <si>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</si>
  <si>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</si>
  <si>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</si>
  <si>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</si>
  <si>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</si>
  <si>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</si>
  <si>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</si>
  <si>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</si>
  <si>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</si>
  <si>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</si>
  <si>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</si>
  <si>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</si>
  <si>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</si>
  <si>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</si>
  <si>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</si>
  <si>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</si>
  <si>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</si>
  <si>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</si>
  <si>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</si>
  <si>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</si>
  <si>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</si>
  <si>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</si>
  <si>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</si>
  <si>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</si>
  <si>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</si>
  <si>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</si>
  <si>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</si>
  <si>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</si>
  <si>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</si>
  <si>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</si>
  <si>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</si>
  <si>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</si>
  <si>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</si>
  <si>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</si>
  <si>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</si>
  <si>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</si>
  <si>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</si>
  <si>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</si>
  <si>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</si>
  <si>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</si>
  <si>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</si>
  <si>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</si>
  <si>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</si>
  <si>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</si>
  <si>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</si>
  <si>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</si>
  <si>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</si>
  <si>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</si>
  <si>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</si>
  <si>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</si>
  <si>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</si>
  <si>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</si>
  <si>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</si>
  <si>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</si>
  <si>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</si>
  <si>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</si>
  <si>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</si>
  <si>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</si>
  <si>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</si>
  <si>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</si>
  <si>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</si>
  <si>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</si>
  <si>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</si>
  <si>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</si>
  <si>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</si>
  <si>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</si>
  <si>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</si>
  <si>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</si>
  <si>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</si>
  <si>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</si>
  <si>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</si>
  <si>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</si>
  <si>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</si>
  <si>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</si>
  <si>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</si>
  <si>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</si>
  <si>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</si>
  <si>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</si>
  <si>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</si>
  <si>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</si>
  <si>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</si>
  <si>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</si>
  <si>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</si>
  <si>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</si>
  <si>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</si>
  <si>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</si>
  <si>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</si>
  <si>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</si>
  <si>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</si>
  <si>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</si>
  <si>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</si>
  <si>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</si>
  <si>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</si>
  <si>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</si>
  <si>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</si>
  <si>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</si>
  <si>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</si>
  <si>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</si>
  <si>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</si>
  <si>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</si>
  <si>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</si>
  <si>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</si>
  <si>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</si>
  <si>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</si>
  <si>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</si>
  <si>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</si>
  <si>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</si>
  <si>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</si>
  <si>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</si>
  <si>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</si>
  <si>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</si>
  <si>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</si>
  <si>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</si>
  <si>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</si>
  <si>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</si>
  <si>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</si>
  <si>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</si>
  <si>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</si>
  <si>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</si>
  <si>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</si>
  <si>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</si>
  <si>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</si>
  <si>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</si>
  <si>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</si>
  <si>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</si>
  <si>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</si>
  <si>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</si>
  <si>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</si>
  <si>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</si>
  <si>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</si>
  <si>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</si>
  <si>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</si>
  <si>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</si>
  <si>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</si>
  <si>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</si>
  <si>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</si>
  <si>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</si>
  <si>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</si>
  <si>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</si>
  <si>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</si>
  <si>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</si>
  <si>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</si>
  <si>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</si>
  <si>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</si>
  <si>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</si>
  <si>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</si>
  <si>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</si>
  <si>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</si>
  <si>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</si>
  <si>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</si>
  <si>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</si>
  <si>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</si>
  <si>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</si>
  <si>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</si>
  <si>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</si>
  <si>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</si>
  <si>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</si>
  <si>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</si>
  <si>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</si>
  <si>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</si>
  <si>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</si>
  <si>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</si>
  <si>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</si>
  <si>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</si>
  <si>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</si>
  <si>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</si>
  <si>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</si>
  <si>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</si>
  <si>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</si>
  <si>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</si>
  <si>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</si>
  <si>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</si>
  <si>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</si>
  <si>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</si>
  <si>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</si>
  <si>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</si>
  <si>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</si>
  <si>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</si>
  <si>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</si>
  <si>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</si>
  <si>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</si>
  <si>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</si>
  <si>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</si>
  <si>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</si>
  <si>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</si>
  <si>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</si>
  <si>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</si>
  <si>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</si>
  <si>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</si>
  <si>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</si>
  <si>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</si>
  <si>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</si>
  <si>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</si>
  <si>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</si>
  <si>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</si>
  <si>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</si>
  <si>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</si>
  <si>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</si>
  <si>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</si>
  <si>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</si>
  <si>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</si>
  <si>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</si>
  <si>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</si>
  <si>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</si>
  <si>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</si>
  <si>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</si>
  <si>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</si>
  <si>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</si>
  <si>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</si>
  <si>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</si>
  <si>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</si>
  <si>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</si>
  <si>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</si>
  <si>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</si>
  <si>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</si>
  <si>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</si>
  <si>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</si>
  <si>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</si>
  <si>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</si>
  <si>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</si>
  <si>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</si>
  <si>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</si>
  <si>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</si>
  <si>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</si>
  <si>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</si>
  <si>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</si>
  <si>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</si>
  <si>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</si>
  <si>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</si>
  <si>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</si>
  <si>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</si>
  <si>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</si>
  <si>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</si>
  <si>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</si>
  <si>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</si>
  <si>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</si>
  <si>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</si>
  <si>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</si>
  <si>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</si>
  <si>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</si>
  <si>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</si>
  <si>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</si>
  <si>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</si>
  <si>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</si>
  <si>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</si>
  <si>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</si>
  <si>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</si>
  <si>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</si>
  <si>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</si>
  <si>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</si>
  <si>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</si>
  <si>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</si>
  <si>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</si>
  <si>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</si>
  <si>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</si>
  <si>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</si>
  <si>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</si>
  <si>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</si>
  <si>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</si>
  <si>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</si>
  <si>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</si>
  <si>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</si>
  <si>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</si>
  <si>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</si>
  <si>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</si>
  <si>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</si>
  <si>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</si>
  <si>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</si>
  <si>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</si>
  <si>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</si>
  <si>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</si>
  <si>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</si>
  <si>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</si>
  <si>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</si>
  <si>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</si>
  <si>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</si>
  <si>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</si>
  <si>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</si>
  <si>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</si>
  <si>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</si>
  <si>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</si>
  <si>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</si>
  <si>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</si>
  <si>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</si>
  <si>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</si>
  <si>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</si>
  <si>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</si>
  <si>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</si>
  <si>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</si>
  <si>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</si>
  <si>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</si>
  <si>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</si>
  <si>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</si>
  <si>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</si>
  <si>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</si>
  <si>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</si>
  <si>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</si>
  <si>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</si>
  <si>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</si>
  <si>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</si>
  <si>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</si>
  <si>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</si>
  <si>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</si>
  <si>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</si>
  <si>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</si>
  <si>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</si>
  <si>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</si>
  <si>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</si>
  <si>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</si>
  <si>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</si>
  <si>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</si>
  <si>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</si>
  <si>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</si>
  <si>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</si>
  <si>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</si>
  <si>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</si>
  <si>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</si>
  <si>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</si>
  <si>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</si>
  <si>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</si>
  <si>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</si>
  <si>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</si>
  <si>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</si>
  <si>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</si>
  <si>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</si>
  <si>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</si>
  <si>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</si>
  <si>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</si>
  <si>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</si>
  <si>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</si>
  <si>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</si>
  <si>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</si>
  <si>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</si>
  <si>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</si>
  <si>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</si>
  <si>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</si>
  <si>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</si>
  <si>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</si>
  <si>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</si>
  <si>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</si>
  <si>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</si>
  <si>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</si>
  <si>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</si>
  <si>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</si>
  <si>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</si>
  <si>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</si>
  <si>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</si>
  <si>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</si>
  <si>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</si>
  <si>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</si>
  <si>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</si>
  <si>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</si>
  <si>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</si>
  <si>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</si>
  <si>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</si>
  <si>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</si>
  <si>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</si>
  <si>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</si>
  <si>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</si>
  <si>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</si>
  <si>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</si>
  <si>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</si>
  <si>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</si>
  <si>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</si>
  <si>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</si>
  <si>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</si>
  <si>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</si>
  <si>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</si>
  <si>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</si>
  <si>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</si>
  <si>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</si>
  <si>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</si>
  <si>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</si>
  <si>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</si>
  <si>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</si>
  <si>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</si>
  <si>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</si>
  <si>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</si>
  <si>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</si>
  <si>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</si>
  <si>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</si>
  <si>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</si>
  <si>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</si>
  <si>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</si>
  <si>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</si>
  <si>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</si>
  <si>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</si>
  <si>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</si>
  <si>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</si>
  <si>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</si>
  <si>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</si>
  <si>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</si>
  <si>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</si>
  <si>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</si>
  <si>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</si>
  <si>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</si>
  <si>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</si>
  <si>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</si>
  <si>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</si>
  <si>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</si>
  <si>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</si>
  <si>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</si>
  <si>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</si>
  <si>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</si>
  <si>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</si>
  <si>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</si>
  <si>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</si>
  <si>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</si>
  <si>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</si>
  <si>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</si>
  <si>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</si>
  <si>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</si>
  <si>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</si>
  <si>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</si>
  <si>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</si>
  <si>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</si>
  <si>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</si>
  <si>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</si>
  <si>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</si>
  <si>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</si>
  <si>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</si>
  <si>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</si>
  <si>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</si>
  <si>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</si>
  <si>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</si>
  <si>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</si>
  <si>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</si>
  <si>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</si>
  <si>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</si>
  <si>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</si>
  <si>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</si>
  <si>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</si>
  <si>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</si>
  <si>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</si>
  <si>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</si>
  <si>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</si>
  <si>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</si>
  <si>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</si>
  <si>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</si>
  <si>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</si>
  <si>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</si>
  <si>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</si>
  <si>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</si>
  <si>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</si>
  <si>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</si>
  <si>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</si>
  <si>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</si>
  <si>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</si>
  <si>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</si>
  <si>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</si>
  <si>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</si>
  <si>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</si>
  <si>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</si>
  <si>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</si>
  <si>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</si>
  <si>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</si>
  <si>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</si>
  <si>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</si>
  <si>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</si>
  <si>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</si>
  <si>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</si>
  <si>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</si>
  <si>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</si>
  <si>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</si>
  <si>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</si>
  <si>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</si>
  <si>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</si>
  <si>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</si>
  <si>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</si>
  <si>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</si>
  <si>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</si>
  <si>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</si>
  <si>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</si>
  <si>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</si>
  <si>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</si>
  <si>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</si>
  <si>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</si>
  <si>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</si>
  <si>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</si>
  <si>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</si>
  <si>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</si>
  <si>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</si>
  <si>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</si>
  <si>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</si>
  <si>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</si>
  <si>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</si>
  <si>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</si>
  <si>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</si>
  <si>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</si>
  <si>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</si>
  <si>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</si>
  <si>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</si>
  <si>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</si>
  <si>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</si>
  <si>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</si>
  <si>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</si>
  <si>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</si>
  <si>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</si>
  <si>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</si>
  <si>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</si>
  <si>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</si>
  <si>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</si>
  <si>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</si>
  <si>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</si>
  <si>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</si>
  <si>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</si>
  <si>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</si>
  <si>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</si>
  <si>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</si>
  <si>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</si>
  <si>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</si>
  <si>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</si>
  <si>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</si>
  <si>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</si>
  <si>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</si>
  <si>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</si>
  <si>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</si>
  <si>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</si>
  <si>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</si>
  <si>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</si>
  <si>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</si>
  <si>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</si>
  <si>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</si>
  <si>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</si>
  <si>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</si>
  <si>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</si>
  <si>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</si>
  <si>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</si>
  <si>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</si>
  <si>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</si>
  <si>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</si>
  <si>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</si>
  <si>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</si>
  <si>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</si>
  <si>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</si>
  <si>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</si>
  <si>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</si>
  <si>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</si>
  <si>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</si>
  <si>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</si>
  <si>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</si>
  <si>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</si>
  <si>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</si>
  <si>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</si>
  <si>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</si>
  <si>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</si>
  <si>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</si>
  <si>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</si>
  <si>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</si>
  <si>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</si>
  <si>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</si>
  <si>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</si>
  <si>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</si>
  <si>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</si>
  <si>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</si>
  <si>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</si>
  <si>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</si>
  <si>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</si>
  <si>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</si>
  <si>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</si>
  <si>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</si>
  <si>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</si>
  <si>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</si>
  <si>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</si>
  <si>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</si>
  <si>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</si>
  <si>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</si>
  <si>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</si>
  <si>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</si>
  <si>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</si>
  <si>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</si>
  <si>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</si>
  <si>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</si>
  <si>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</si>
  <si>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</si>
  <si>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</si>
  <si>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</si>
  <si>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</si>
  <si>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</si>
  <si>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</si>
  <si>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</si>
  <si>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</si>
  <si>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</si>
  <si>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</si>
  <si>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</si>
  <si>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</si>
  <si>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</si>
  <si>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</si>
  <si>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</si>
  <si>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</si>
  <si>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</si>
  <si>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</si>
  <si>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</si>
  <si>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</si>
  <si>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</si>
  <si>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</si>
  <si>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</si>
  <si>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</si>
  <si>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</si>
  <si>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</si>
  <si>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</si>
  <si>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</si>
  <si>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</si>
  <si>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</si>
  <si>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</si>
  <si>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</si>
  <si>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</si>
  <si>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</si>
  <si>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</si>
  <si>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</si>
  <si>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</si>
  <si>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</si>
  <si>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</si>
  <si>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</si>
  <si>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</si>
  <si>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</si>
  <si>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</si>
  <si>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</si>
  <si>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</si>
  <si>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</si>
  <si>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</si>
  <si>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</si>
  <si>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</si>
  <si>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</si>
  <si>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</si>
  <si>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</si>
  <si>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</si>
  <si>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</si>
  <si>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</si>
  <si>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</si>
  <si>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</si>
  <si>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</si>
  <si>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</si>
  <si>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</si>
  <si>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</si>
  <si>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</si>
  <si>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</si>
  <si>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</si>
  <si>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</si>
  <si>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</si>
  <si>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</si>
  <si>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</si>
  <si>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</si>
  <si>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</si>
  <si>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</si>
  <si>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</si>
  <si>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</si>
  <si>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</si>
  <si>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</si>
  <si>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</si>
  <si>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</si>
  <si>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</si>
  <si>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</si>
  <si>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</si>
  <si>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</si>
  <si>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</si>
  <si>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</si>
  <si>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</si>
  <si>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</si>
  <si>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</si>
  <si>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</si>
  <si>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</si>
  <si>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</si>
  <si>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</si>
  <si>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</si>
  <si>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</si>
  <si>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</si>
  <si>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</si>
  <si>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</si>
  <si>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</si>
  <si>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</si>
  <si>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</si>
  <si>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</si>
  <si>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</si>
  <si>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</si>
  <si>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</si>
  <si>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</si>
  <si>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</si>
  <si>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</si>
  <si>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</si>
  <si>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</si>
  <si>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</si>
  <si>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</si>
  <si>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</si>
  <si>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</si>
  <si>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</si>
  <si>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</si>
  <si>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</si>
  <si>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</si>
  <si>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</si>
  <si>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</si>
  <si>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</si>
  <si>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</si>
  <si>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</si>
  <si>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</si>
  <si>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</si>
  <si>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</si>
  <si>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</si>
  <si>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</si>
  <si>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</si>
  <si>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</si>
  <si>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</si>
  <si>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</si>
  <si>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</si>
  <si>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</si>
  <si>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</si>
  <si>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</si>
  <si>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</si>
  <si>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</si>
  <si>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</si>
  <si>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</si>
  <si>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</si>
  <si>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</si>
  <si>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</si>
  <si>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</si>
  <si>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</si>
  <si>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</si>
  <si>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</si>
  <si>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</si>
  <si>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</si>
  <si>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</si>
  <si>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</si>
  <si>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</si>
  <si>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</si>
  <si>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</si>
  <si>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</si>
  <si>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</si>
  <si>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</si>
  <si>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</si>
  <si>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</si>
  <si>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</si>
  <si>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</si>
  <si>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</si>
  <si>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</si>
  <si>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</si>
  <si>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</si>
  <si>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</si>
  <si>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</si>
  <si>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</si>
  <si>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</si>
  <si>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</si>
  <si>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</si>
  <si>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</si>
  <si>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</si>
  <si>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</si>
  <si>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</si>
  <si>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</si>
  <si>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</si>
  <si>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</si>
  <si>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</si>
  <si>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</si>
  <si>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</si>
  <si>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</si>
  <si>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</si>
  <si>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</si>
  <si>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</si>
  <si>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</si>
  <si>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</si>
  <si>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</si>
  <si>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</si>
  <si>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</si>
  <si>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</si>
  <si>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</si>
  <si>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</si>
  <si>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</si>
  <si>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</si>
  <si>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</si>
  <si>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</si>
  <si>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</si>
  <si>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</si>
  <si>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</si>
  <si>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</si>
  <si>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</si>
  <si>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</si>
  <si>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</si>
  <si>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</si>
  <si>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</si>
  <si>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</si>
  <si>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</si>
  <si>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</si>
  <si>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</si>
  <si>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</si>
  <si>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</si>
  <si>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</si>
  <si>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</si>
  <si>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</si>
  <si>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</si>
  <si>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</si>
  <si>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</si>
  <si>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</si>
  <si>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</si>
  <si>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</si>
  <si>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</si>
  <si>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</si>
  <si>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</si>
  <si>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</si>
  <si>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</si>
  <si>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</si>
  <si>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</si>
  <si>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</si>
  <si>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</si>
  <si>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</si>
  <si>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</si>
  <si>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</si>
  <si>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</si>
  <si>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</si>
  <si>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</si>
  <si>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</si>
  <si>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</si>
  <si>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</si>
  <si>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</si>
  <si>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</si>
  <si>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</si>
  <si>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</si>
  <si>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</si>
  <si>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</si>
  <si>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</si>
  <si>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</si>
  <si>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</si>
  <si>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</si>
  <si>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</si>
  <si>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</si>
  <si>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</si>
  <si>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</si>
  <si>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</si>
  <si>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</si>
  <si>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</si>
  <si>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</si>
  <si>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</si>
  <si>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</si>
  <si>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</si>
  <si>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</si>
  <si>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</si>
  <si>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</si>
  <si>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</si>
  <si>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</si>
  <si>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</si>
  <si>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</si>
  <si>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</si>
  <si>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</si>
  <si>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</si>
  <si>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</si>
  <si>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</si>
  <si>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</si>
  <si>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</si>
  <si>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</si>
  <si>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</si>
  <si>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</si>
  <si>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</si>
  <si>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</si>
  <si>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</si>
  <si>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</si>
  <si>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</si>
  <si>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</si>
  <si>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</si>
  <si>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</si>
  <si>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</si>
  <si>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</si>
  <si>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</si>
  <si>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</si>
  <si>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</si>
  <si>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</si>
  <si>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</si>
  <si>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</si>
  <si>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</si>
  <si>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</si>
  <si>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</si>
  <si>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</si>
  <si>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</si>
  <si>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</si>
  <si>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</si>
  <si>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</si>
  <si>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</si>
  <si>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</si>
  <si>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</si>
  <si>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</si>
  <si>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</si>
  <si>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</si>
  <si>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</si>
  <si>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</si>
  <si>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</si>
  <si>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</si>
  <si>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</si>
  <si>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</si>
  <si>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</si>
  <si>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</si>
  <si>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</si>
  <si>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</si>
  <si>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</si>
  <si>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</si>
  <si>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</si>
  <si>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</si>
  <si>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</si>
  <si>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</si>
  <si>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</si>
  <si>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</si>
  <si>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</si>
  <si>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</si>
  <si>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</si>
  <si>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</si>
  <si>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</si>
  <si>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</si>
  <si>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</si>
  <si>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</si>
  <si>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</si>
  <si>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</si>
  <si>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</si>
  <si>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</si>
  <si>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</si>
  <si>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</si>
  <si>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</si>
  <si>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</si>
  <si>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</si>
  <si>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</si>
  <si>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</si>
  <si>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</si>
  <si>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</si>
  <si>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</si>
  <si>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</si>
  <si>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</si>
  <si>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</si>
  <si>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</si>
  <si>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</si>
  <si>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</si>
  <si>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</si>
  <si>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</si>
  <si>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</si>
  <si>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</si>
  <si>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</si>
  <si>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</si>
  <si>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</si>
  <si>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</si>
  <si>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</si>
  <si>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</si>
  <si>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</si>
  <si>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</si>
  <si>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</si>
  <si>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</si>
  <si>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</si>
  <si>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</si>
  <si>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</si>
  <si>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</si>
  <si>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</si>
  <si>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</si>
  <si>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</si>
  <si>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</si>
  <si>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</si>
  <si>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</si>
  <si>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</si>
  <si>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</si>
  <si>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</si>
  <si>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</si>
  <si>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</si>
  <si>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</si>
  <si>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</si>
  <si>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</si>
  <si>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</si>
  <si>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</si>
  <si>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</si>
  <si>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</si>
  <si>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</si>
  <si>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</si>
  <si>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</si>
  <si>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</si>
  <si>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</si>
  <si>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</si>
  <si>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</si>
  <si>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</si>
  <si>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</si>
  <si>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</si>
  <si>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</si>
  <si>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</si>
  <si>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</si>
  <si>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</si>
  <si>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</si>
  <si>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</si>
  <si>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</si>
  <si>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</si>
  <si>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</si>
  <si>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</si>
  <si>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</si>
  <si>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</si>
  <si>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</si>
  <si>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</si>
  <si>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</si>
  <si>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</si>
  <si>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</si>
  <si>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</si>
  <si>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</si>
  <si>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</si>
  <si>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</si>
  <si>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</si>
  <si>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</si>
  <si>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</si>
  <si>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</si>
  <si>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</si>
  <si>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</si>
  <si>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</si>
  <si>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</si>
  <si>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</si>
  <si>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</si>
  <si>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</si>
  <si>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</si>
  <si>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</si>
  <si>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</si>
  <si>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</si>
  <si>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</si>
  <si>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</si>
  <si>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</si>
  <si>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</si>
  <si>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</si>
  <si>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</si>
  <si>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</si>
  <si>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</si>
  <si>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</si>
  <si>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</si>
  <si>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</si>
  <si>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</si>
  <si>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</si>
  <si>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</si>
  <si>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</si>
  <si>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</si>
  <si>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</si>
  <si>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</si>
  <si>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</si>
  <si>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</si>
  <si>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</si>
  <si>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</si>
  <si>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</si>
  <si>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</si>
  <si>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</si>
  <si>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</si>
  <si>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</si>
  <si>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</si>
  <si>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</si>
  <si>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</si>
  <si>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</si>
  <si>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</si>
  <si>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</si>
  <si>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</si>
  <si>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</si>
  <si>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</si>
  <si>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</si>
  <si>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</si>
  <si>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</si>
  <si>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</si>
  <si>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</si>
  <si>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</si>
  <si>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</si>
  <si>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</si>
  <si>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</si>
  <si>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</si>
  <si>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</si>
  <si>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</si>
  <si>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</si>
  <si>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</si>
  <si>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</si>
  <si>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</si>
  <si>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</si>
  <si>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</si>
  <si>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</si>
  <si>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</si>
  <si>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</si>
  <si>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</si>
  <si>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</si>
  <si>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</si>
  <si>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</si>
  <si>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</si>
  <si>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</si>
  <si>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</si>
  <si>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</si>
  <si>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</si>
  <si>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</si>
  <si>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</si>
  <si>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</si>
  <si>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</si>
  <si>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</si>
  <si>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</si>
  <si>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</si>
  <si>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</si>
  <si>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</si>
  <si>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</si>
  <si>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</si>
  <si>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</si>
  <si>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</si>
  <si>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</si>
  <si>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</si>
  <si>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</si>
  <si>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</si>
  <si>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</si>
  <si>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</si>
  <si>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</si>
  <si>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</si>
  <si>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</si>
  <si>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</si>
  <si>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</si>
  <si>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</si>
  <si>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</si>
  <si>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</si>
  <si>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</si>
  <si>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</si>
  <si>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</si>
  <si>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</si>
  <si>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</si>
  <si>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</si>
  <si>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</si>
  <si>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</si>
  <si>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</si>
  <si>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</si>
  <si>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</si>
  <si>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</si>
  <si>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</si>
  <si>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</si>
  <si>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</si>
  <si>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</si>
  <si>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</si>
  <si>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</si>
  <si>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</si>
  <si>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</si>
  <si>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</si>
  <si>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</si>
  <si>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</si>
  <si>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</si>
  <si>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</si>
  <si>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</si>
  <si>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</si>
  <si>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</si>
  <si>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</si>
  <si>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</si>
  <si>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</si>
  <si>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</si>
  <si>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</si>
  <si>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</si>
  <si>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</si>
  <si>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</si>
  <si>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</si>
  <si>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</si>
  <si>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</si>
  <si>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</si>
  <si>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</si>
  <si>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</si>
  <si>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</si>
  <si>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</si>
  <si>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</si>
  <si>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</si>
  <si>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</si>
  <si>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</si>
  <si>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</si>
  <si>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</si>
  <si>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</si>
  <si>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</si>
  <si>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</si>
  <si>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</si>
  <si>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</si>
  <si>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</si>
  <si>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</si>
  <si>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</si>
  <si>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</si>
  <si>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</si>
  <si>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</si>
  <si>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</si>
  <si>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</si>
  <si>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</si>
  <si>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</si>
  <si>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</si>
  <si>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</si>
  <si>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</si>
  <si>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</si>
  <si>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</si>
  <si>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</si>
  <si>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</si>
  <si>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</si>
  <si>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</si>
  <si>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</si>
  <si>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</si>
  <si>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</si>
  <si>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</si>
  <si>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</si>
  <si>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</si>
  <si>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</si>
  <si>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</si>
  <si>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</si>
  <si>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</si>
  <si>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</si>
  <si>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</si>
  <si>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</si>
  <si>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</si>
  <si>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</si>
  <si>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</si>
  <si>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</si>
  <si>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</si>
  <si>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</si>
  <si>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</si>
  <si>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</si>
  <si>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</si>
  <si>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</si>
  <si>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</si>
  <si>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</si>
  <si>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</si>
  <si>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</si>
  <si>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</si>
  <si>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</si>
  <si>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</si>
  <si>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</si>
  <si>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</si>
  <si>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</si>
  <si>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</si>
  <si>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</si>
  <si>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</si>
  <si>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</si>
  <si>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</si>
  <si>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</si>
  <si>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</si>
  <si>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</si>
  <si>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</si>
  <si>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</si>
  <si>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</si>
  <si>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</si>
  <si>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</si>
  <si>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</si>
  <si>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</si>
  <si>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</si>
  <si>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</si>
  <si>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</si>
  <si>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</si>
  <si>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</si>
  <si>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</si>
  <si>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</si>
  <si>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</si>
  <si>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</si>
  <si>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</si>
  <si>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</si>
  <si>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</si>
  <si>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</si>
  <si>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</si>
  <si>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</si>
  <si>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</si>
  <si>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</si>
  <si>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</si>
  <si>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</si>
  <si>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</si>
  <si>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</si>
  <si>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</si>
  <si>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</si>
  <si>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</si>
  <si>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</si>
  <si>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</si>
  <si>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</si>
  <si>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</si>
  <si>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</si>
  <si>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</si>
  <si>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</si>
  <si>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</si>
  <si>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</si>
  <si>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</si>
  <si>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</si>
  <si>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</si>
  <si>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</si>
  <si>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</si>
  <si>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</si>
  <si>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</si>
  <si>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</si>
  <si>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</si>
  <si>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</si>
  <si>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</si>
  <si>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</si>
  <si>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</si>
  <si>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</si>
  <si>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</si>
  <si>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</si>
  <si>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</si>
  <si>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</si>
  <si>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</si>
  <si>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</si>
  <si>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</si>
  <si>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</si>
  <si>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</si>
  <si>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</si>
  <si>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</si>
  <si>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</si>
  <si>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</si>
  <si>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</si>
  <si>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</si>
  <si>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</si>
  <si>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</si>
  <si>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</si>
  <si>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</si>
  <si>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</si>
  <si>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</si>
  <si>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</si>
  <si>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</si>
  <si>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</si>
  <si>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</si>
  <si>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</si>
  <si>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</si>
  <si>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</si>
  <si>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</si>
  <si>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</si>
  <si>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</si>
  <si>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</si>
  <si>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</si>
  <si>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</si>
  <si>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</si>
  <si>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</si>
  <si>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</si>
  <si>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</si>
  <si>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</si>
  <si>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</si>
  <si>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</si>
  <si>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</si>
  <si>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</si>
  <si>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</si>
  <si>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</si>
  <si>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</si>
  <si>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</si>
  <si>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</si>
  <si>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</si>
  <si>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</si>
  <si>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</si>
  <si>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</si>
  <si>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</si>
  <si>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</si>
  <si>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</si>
  <si>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</si>
  <si>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</si>
  <si>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</si>
  <si>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</si>
  <si>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</si>
  <si>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</si>
  <si>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</si>
  <si>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</si>
  <si>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</si>
  <si>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</si>
  <si>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</si>
  <si>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</si>
  <si>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</si>
  <si>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</si>
  <si>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</si>
  <si>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</si>
  <si>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</si>
  <si>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</si>
  <si>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</si>
  <si>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</si>
  <si>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</si>
  <si>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</si>
  <si>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</si>
  <si>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</si>
  <si>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</si>
  <si>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</si>
  <si>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</si>
  <si>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</si>
  <si>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</si>
  <si>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</si>
  <si>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</si>
  <si>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</si>
  <si>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</si>
  <si>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</si>
  <si>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</si>
  <si>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</si>
  <si>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</si>
  <si>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</si>
  <si>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</si>
  <si>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</si>
  <si>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</si>
  <si>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</si>
  <si>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</si>
  <si>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</si>
  <si>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</si>
  <si>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</si>
  <si>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</si>
  <si>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</si>
  <si>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</si>
  <si>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</si>
  <si>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</si>
  <si>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</si>
  <si>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</si>
  <si>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</si>
  <si>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</si>
  <si>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</si>
  <si>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</si>
  <si>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</si>
  <si>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</si>
  <si>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</si>
  <si>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</si>
  <si>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</si>
  <si>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</si>
  <si>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</si>
  <si>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</si>
  <si>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</si>
  <si>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</si>
  <si>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</si>
  <si>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</si>
  <si>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</si>
  <si>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</si>
  <si>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</si>
  <si>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</si>
  <si>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</si>
  <si>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</si>
  <si>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</si>
  <si>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</si>
  <si>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</si>
  <si>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</si>
  <si>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</si>
  <si>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</si>
  <si>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</si>
  <si>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</si>
  <si>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</si>
  <si>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</si>
  <si>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</si>
  <si>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</si>
  <si>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</si>
  <si>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</si>
  <si>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</si>
  <si>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</si>
  <si>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</si>
  <si>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</si>
  <si>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</si>
  <si>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</si>
  <si>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</si>
  <si>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</si>
  <si>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</si>
  <si>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</si>
  <si>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</si>
  <si>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</si>
  <si>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</si>
  <si>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</si>
  <si>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</si>
  <si>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</si>
  <si>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</si>
  <si>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</si>
  <si>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</si>
  <si>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</si>
  <si>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</si>
  <si>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</si>
  <si>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</si>
  <si>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</si>
  <si>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</si>
  <si>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</si>
  <si>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</si>
  <si>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</si>
  <si>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</si>
  <si>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</si>
  <si>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</si>
  <si>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</si>
  <si>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</si>
  <si>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</si>
  <si>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</si>
  <si>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</si>
  <si>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</si>
  <si>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</si>
  <si>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</si>
  <si>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</si>
  <si>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</si>
  <si>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</si>
  <si>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</si>
  <si>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</si>
  <si>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</si>
  <si>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</si>
  <si>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</si>
  <si>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</si>
  <si>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</si>
  <si>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</si>
  <si>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</si>
  <si>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</si>
  <si>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</si>
  <si>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</si>
  <si>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</si>
  <si>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</si>
  <si>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</si>
  <si>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</si>
  <si>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</si>
  <si>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</si>
  <si>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</si>
  <si>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</si>
  <si>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</si>
  <si>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</si>
  <si>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</si>
  <si>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</si>
  <si>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</si>
  <si>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</si>
  <si>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</si>
  <si>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</si>
  <si>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</si>
  <si>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</si>
  <si>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</si>
  <si>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</si>
  <si>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</si>
  <si>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</si>
  <si>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</si>
  <si>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</si>
  <si>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</si>
  <si>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</si>
  <si>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</si>
  <si>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</si>
  <si>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</si>
  <si>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</si>
  <si>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</si>
  <si>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</si>
  <si>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</si>
  <si>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</si>
  <si>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</si>
  <si>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</si>
  <si>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</si>
  <si>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</si>
  <si>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</si>
  <si>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</si>
  <si>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</si>
  <si>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</si>
  <si>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</si>
  <si>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</si>
  <si>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</si>
  <si>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</si>
  <si>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</si>
  <si>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</si>
  <si>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</si>
  <si>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</si>
  <si>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</si>
  <si>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</si>
  <si>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</si>
  <si>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</si>
  <si>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</si>
  <si>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</si>
  <si>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</si>
  <si>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</si>
  <si>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</si>
  <si>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</si>
  <si>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</si>
  <si>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</si>
  <si>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</si>
  <si>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</si>
  <si>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</si>
  <si>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</si>
  <si>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</si>
  <si>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</si>
  <si>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</si>
  <si>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</si>
  <si>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</si>
  <si>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</si>
  <si>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</si>
  <si>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</si>
  <si>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</si>
  <si>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</si>
  <si>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</si>
  <si>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</si>
  <si>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</si>
  <si>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</si>
  <si>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</si>
  <si>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</si>
  <si>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</si>
  <si>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</si>
  <si>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</si>
  <si>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</si>
  <si>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</si>
  <si>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</si>
  <si>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</si>
  <si>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</si>
  <si>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</si>
  <si>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</si>
  <si>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</si>
  <si>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</si>
  <si>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</si>
  <si>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</si>
  <si>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</si>
  <si>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</si>
  <si>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</si>
  <si>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</si>
  <si>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</si>
  <si>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</si>
  <si>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</si>
  <si>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</si>
  <si>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</si>
  <si>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</si>
  <si>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</si>
  <si>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</si>
  <si>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</si>
  <si>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</si>
  <si>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</si>
  <si>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</si>
  <si>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</si>
  <si>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</si>
  <si>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</si>
  <si>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</si>
  <si>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</si>
  <si>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</si>
  <si>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</si>
  <si>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</si>
  <si>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</si>
  <si>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</si>
  <si>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</si>
  <si>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</si>
  <si>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</si>
  <si>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</si>
  <si>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</si>
  <si>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</si>
  <si>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</si>
  <si>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</si>
  <si>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</si>
  <si>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</si>
  <si>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</si>
  <si>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</si>
  <si>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</si>
  <si>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</si>
  <si>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</si>
  <si>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</si>
  <si>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</si>
  <si>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</si>
  <si>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</si>
  <si>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</si>
  <si>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</si>
  <si>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</si>
  <si>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</si>
  <si>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</si>
  <si>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</si>
  <si>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</si>
  <si>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</si>
  <si>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</si>
  <si>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</si>
  <si>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</si>
  <si>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</si>
  <si>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</si>
  <si>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</si>
  <si>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</si>
  <si>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</si>
  <si>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</si>
  <si>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</si>
  <si>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</si>
  <si>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</si>
  <si>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</si>
  <si>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</si>
  <si>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</si>
  <si>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</si>
  <si>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</si>
  <si>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</si>
  <si>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</si>
  <si>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</si>
  <si>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</si>
  <si>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</si>
  <si>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</si>
  <si>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</si>
  <si>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</si>
  <si>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</si>
  <si>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</si>
  <si>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</si>
  <si>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</si>
  <si>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</si>
  <si>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</si>
  <si>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</si>
  <si>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</si>
  <si>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</si>
  <si>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</si>
  <si>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</si>
  <si>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</si>
  <si>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</si>
  <si>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</si>
  <si>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</si>
  <si>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</si>
  <si>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</si>
  <si>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</si>
  <si>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</si>
  <si>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</si>
  <si>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</si>
  <si>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</si>
  <si>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</si>
  <si>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</si>
  <si>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</si>
  <si>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</si>
  <si>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</si>
  <si>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</si>
  <si>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</si>
  <si>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</si>
  <si>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</si>
  <si>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</si>
  <si>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</si>
  <si>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</si>
  <si>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</si>
  <si>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</si>
  <si>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</si>
  <si>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</si>
  <si>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</si>
  <si>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</si>
  <si>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</si>
  <si>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</si>
  <si>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</si>
  <si>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</si>
  <si>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</si>
  <si>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</si>
  <si>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</si>
  <si>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</si>
  <si>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</si>
  <si>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</si>
  <si>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</si>
  <si>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</si>
  <si>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</si>
  <si>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</si>
  <si>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</si>
  <si>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</si>
  <si>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</si>
  <si>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</si>
  <si>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</si>
  <si>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</si>
  <si>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</si>
  <si>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</si>
  <si>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</si>
  <si>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</si>
  <si>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</si>
  <si>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</si>
  <si>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</si>
  <si>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</si>
  <si>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</si>
  <si>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</si>
  <si>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</si>
  <si>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</si>
  <si>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</si>
  <si>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</si>
  <si>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</si>
  <si>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</si>
  <si>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</si>
  <si>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</si>
  <si>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</si>
  <si>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</si>
  <si>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</si>
  <si>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</si>
  <si>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</si>
  <si>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</si>
  <si>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</si>
  <si>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</si>
  <si>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</si>
  <si>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</si>
  <si>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</si>
  <si>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</si>
  <si>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</si>
  <si>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</si>
  <si>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</si>
  <si>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</si>
  <si>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</si>
  <si>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</si>
  <si>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</si>
  <si>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</si>
  <si>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</si>
  <si>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</si>
  <si>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</si>
  <si>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</si>
  <si>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</si>
  <si>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</si>
  <si>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</si>
  <si>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</si>
  <si>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</si>
  <si>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</si>
  <si>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</si>
  <si>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</si>
  <si>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</si>
  <si>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</si>
  <si>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</si>
  <si>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</si>
  <si>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</si>
  <si>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</si>
  <si>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</si>
  <si>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</si>
  <si>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</si>
  <si>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</si>
  <si>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</si>
  <si>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</si>
  <si>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</si>
  <si>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</si>
  <si>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</si>
  <si>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</si>
  <si>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</si>
  <si>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</si>
  <si>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</si>
  <si>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</si>
  <si>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</si>
  <si>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</si>
  <si>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</si>
  <si>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</si>
  <si>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</si>
  <si>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</si>
  <si>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</si>
  <si>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</si>
  <si>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</si>
  <si>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</si>
  <si>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</si>
  <si>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</si>
  <si>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</si>
  <si>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</si>
  <si>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</si>
  <si>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</si>
  <si>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</si>
  <si>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</si>
  <si>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</si>
  <si>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</si>
  <si>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</si>
  <si>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</si>
  <si>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</si>
  <si>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</si>
  <si>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</si>
  <si>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</si>
  <si>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</si>
  <si>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</si>
  <si>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</si>
  <si>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</si>
  <si>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</si>
  <si>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</si>
  <si>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</si>
  <si>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</si>
  <si>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</si>
  <si>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</si>
  <si>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</si>
  <si>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</si>
  <si>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</si>
  <si>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</si>
  <si>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</si>
  <si>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</si>
  <si>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</si>
  <si>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</si>
  <si>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</si>
  <si>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</si>
  <si>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</si>
  <si>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</si>
  <si>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</si>
  <si>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</si>
  <si>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</si>
  <si>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</si>
  <si>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</si>
  <si>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</si>
  <si>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</si>
  <si>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</si>
  <si>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</si>
  <si>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</si>
  <si>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</si>
  <si>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</si>
  <si>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</si>
  <si>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</si>
  <si>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</si>
  <si>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</si>
  <si>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</si>
  <si>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</si>
  <si>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</si>
  <si>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</si>
  <si>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</si>
  <si>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</si>
  <si>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</si>
  <si>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</si>
  <si>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</si>
  <si>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</si>
  <si>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</si>
  <si>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</si>
  <si>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</si>
  <si>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</si>
  <si>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</si>
  <si>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</si>
  <si>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</si>
  <si>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</si>
  <si>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</si>
  <si>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</si>
  <si>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</si>
  <si>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</si>
  <si>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</si>
  <si>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</si>
  <si>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</si>
  <si>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</si>
  <si>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</si>
  <si>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</si>
  <si>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</si>
  <si>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</si>
  <si>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</si>
  <si>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</si>
  <si>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</si>
  <si>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</si>
  <si>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</si>
  <si>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</si>
  <si>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</si>
  <si>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</si>
  <si>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</si>
  <si>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</si>
  <si>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</si>
  <si>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</si>
  <si>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</si>
  <si>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</si>
  <si>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</si>
  <si>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</si>
  <si>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</si>
  <si>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</si>
  <si>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</si>
  <si>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</si>
  <si>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</si>
  <si>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</si>
  <si>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</si>
  <si>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</si>
  <si>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</si>
  <si>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</si>
  <si>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</si>
  <si>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</si>
  <si>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</si>
  <si>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</si>
  <si>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</si>
  <si>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</si>
  <si>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</si>
  <si>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</si>
  <si>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</si>
  <si>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</si>
  <si>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</si>
  <si>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</si>
  <si>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</si>
  <si>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</si>
  <si>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</si>
  <si>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</si>
  <si>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</si>
  <si>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</si>
  <si>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</si>
  <si>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</si>
  <si>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</si>
  <si>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</si>
  <si>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</si>
  <si>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</si>
  <si>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</si>
  <si>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</si>
  <si>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</si>
  <si>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</si>
  <si>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</si>
  <si>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</si>
  <si>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</si>
  <si>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</si>
  <si>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</si>
  <si>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</si>
  <si>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</si>
  <si>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</si>
  <si>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</si>
  <si>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</si>
  <si>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</si>
  <si>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</si>
  <si>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</si>
  <si>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</si>
  <si>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</si>
  <si>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</si>
  <si>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</si>
  <si>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</si>
  <si>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</si>
  <si>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</si>
  <si>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</si>
  <si>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</si>
  <si>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</si>
  <si>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</si>
  <si>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</si>
  <si>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</si>
  <si>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</si>
  <si>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</si>
  <si>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</si>
  <si>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</si>
  <si>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</si>
  <si>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</si>
  <si>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</si>
  <si>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</si>
  <si>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</si>
  <si>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</si>
  <si>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</si>
  <si>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</si>
  <si>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</si>
  <si>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</si>
  <si>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</si>
  <si>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</si>
  <si>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</si>
  <si>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</si>
  <si>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</si>
  <si>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</si>
  <si>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</si>
  <si>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</si>
  <si>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</si>
  <si>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</si>
  <si>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</si>
  <si>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</si>
  <si>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</si>
  <si>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</si>
  <si>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</si>
  <si>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</si>
  <si>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</si>
  <si>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</si>
  <si>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</si>
  <si>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</si>
  <si>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</si>
  <si>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</si>
  <si>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</si>
  <si>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</si>
  <si>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</si>
  <si>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</si>
  <si>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</si>
  <si>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</si>
  <si>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</si>
  <si>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</si>
  <si>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</si>
  <si>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</si>
  <si>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</si>
  <si>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</si>
  <si>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</si>
  <si>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</si>
  <si>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</si>
  <si>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</si>
  <si>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</si>
  <si>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</si>
  <si>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</si>
  <si>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</si>
  <si>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</si>
  <si>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</si>
  <si>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</si>
  <si>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</si>
  <si>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</si>
  <si>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</si>
  <si>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</si>
  <si>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</si>
  <si>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</si>
  <si>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</si>
  <si>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</si>
  <si>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</si>
  <si>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</si>
  <si>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</si>
  <si>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</si>
  <si>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</si>
  <si>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</si>
  <si>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</si>
  <si>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</si>
  <si>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</si>
  <si>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</si>
  <si>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</si>
  <si>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</si>
  <si>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</si>
  <si>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</si>
  <si>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</si>
  <si>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</si>
  <si>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</si>
  <si>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</si>
  <si>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</si>
  <si>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</si>
  <si>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</si>
  <si>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</si>
  <si>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</si>
  <si>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</si>
  <si>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</si>
  <si>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</si>
  <si>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</si>
  <si>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</si>
  <si>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</si>
  <si>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</si>
  <si>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</si>
  <si>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</si>
  <si>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</si>
  <si>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</si>
  <si>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</si>
  <si>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</si>
  <si>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</si>
  <si>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</si>
  <si>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</si>
  <si>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</si>
  <si>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</si>
  <si>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</si>
  <si>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</si>
  <si>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</si>
  <si>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</si>
  <si>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</si>
  <si>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</si>
  <si>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</si>
  <si>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</si>
  <si>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</si>
  <si>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</si>
  <si>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</si>
  <si>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</si>
  <si>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</si>
  <si>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</si>
  <si>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</si>
  <si>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</si>
  <si>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</si>
  <si>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</si>
  <si>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</si>
  <si>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</si>
  <si>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</si>
  <si>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</si>
  <si>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</si>
  <si>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</si>
  <si>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</si>
  <si>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</si>
  <si>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</si>
  <si>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</si>
  <si>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</si>
  <si>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</si>
  <si>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</si>
  <si>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</si>
  <si>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</si>
  <si>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</si>
  <si>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</si>
  <si>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</si>
  <si>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</si>
  <si>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</si>
  <si>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</si>
  <si>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</si>
  <si>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</si>
  <si>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</si>
  <si>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</si>
  <si>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</si>
  <si>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</si>
  <si>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</si>
  <si>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</si>
  <si>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</si>
  <si>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</si>
  <si>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</si>
  <si>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</si>
  <si>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</si>
  <si>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</si>
  <si>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</si>
  <si>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</si>
  <si>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</si>
  <si>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</si>
  <si>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</si>
  <si>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</si>
  <si>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</si>
  <si>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</si>
  <si>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</si>
  <si>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</si>
  <si>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</si>
  <si>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</si>
  <si>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</si>
  <si>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</si>
  <si>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</si>
  <si>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</si>
  <si>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</si>
  <si>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</si>
  <si>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</si>
  <si>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</si>
  <si>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</si>
  <si>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</si>
  <si>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</si>
  <si>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</si>
  <si>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</si>
  <si>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</si>
  <si>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</si>
  <si>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</si>
  <si>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</si>
  <si>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</si>
  <si>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</si>
  <si>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</si>
  <si>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</si>
  <si>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</si>
  <si>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</si>
  <si>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</si>
  <si>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</si>
  <si>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</si>
  <si>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</si>
  <si>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</si>
  <si>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</si>
  <si>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</si>
  <si>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</si>
  <si>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</si>
  <si>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</si>
  <si>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</si>
  <si>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</si>
  <si>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</si>
  <si>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</si>
  <si>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</si>
  <si>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</si>
  <si>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</si>
  <si>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</si>
  <si>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</si>
  <si>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</si>
  <si>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</si>
  <si>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</si>
  <si>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</si>
  <si>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</si>
  <si>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</si>
  <si>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</si>
  <si>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</si>
  <si>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</si>
  <si>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</si>
  <si>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</si>
  <si>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</si>
  <si>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</si>
  <si>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</si>
  <si>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</si>
  <si>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</si>
  <si>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</si>
  <si>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</si>
  <si>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</si>
  <si>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</si>
  <si>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</si>
  <si>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</si>
  <si>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</si>
  <si>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</si>
  <si>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</si>
  <si>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</si>
  <si>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</si>
  <si>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</si>
  <si>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</si>
  <si>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</si>
  <si>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</si>
  <si>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</si>
  <si>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</si>
  <si>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</si>
  <si>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</si>
  <si>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</si>
  <si>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</si>
  <si>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</si>
  <si>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</si>
  <si>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</si>
  <si>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</si>
  <si>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</si>
  <si>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</si>
  <si>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</si>
  <si>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</si>
  <si>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</si>
  <si>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</si>
  <si>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</si>
  <si>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</si>
  <si>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</si>
  <si>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</si>
  <si>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</si>
  <si>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</si>
  <si>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</si>
  <si>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</si>
  <si>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</si>
  <si>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</si>
  <si>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</si>
  <si>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</si>
  <si>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</si>
  <si>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</si>
  <si>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</si>
  <si>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</si>
  <si>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</si>
  <si>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</si>
  <si>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</si>
  <si>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</si>
  <si>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</si>
  <si>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</si>
  <si>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</si>
  <si>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</si>
  <si>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</si>
  <si>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</si>
  <si>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</si>
  <si>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</si>
  <si>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</si>
  <si>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</si>
  <si>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</si>
  <si>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</si>
  <si>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</si>
  <si>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</si>
  <si>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</si>
  <si>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</si>
  <si>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</si>
  <si>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</si>
  <si>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</si>
  <si>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</si>
  <si>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</si>
  <si>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</si>
  <si>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</si>
  <si>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</si>
  <si>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</si>
  <si>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</si>
  <si>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</si>
  <si>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</si>
  <si>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</si>
  <si>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</si>
  <si>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</si>
  <si>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</si>
  <si>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</si>
  <si>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</si>
  <si>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</si>
  <si>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</si>
  <si>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</si>
  <si>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</si>
  <si>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</si>
  <si>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</si>
  <si>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</si>
  <si>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</si>
  <si>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</si>
  <si>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</si>
  <si>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</si>
  <si>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</si>
  <si>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</si>
  <si>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</si>
  <si>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</si>
  <si>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</si>
  <si>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</si>
  <si>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</si>
  <si>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</si>
  <si>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</si>
  <si>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</si>
  <si>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</si>
  <si>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</si>
  <si>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</si>
  <si>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</si>
  <si>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</si>
  <si>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</si>
  <si>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</si>
  <si>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</si>
  <si>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</si>
  <si>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</si>
  <si>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</si>
  <si>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</si>
  <si>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</si>
  <si>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</si>
  <si>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</si>
  <si>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</si>
  <si>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</si>
  <si>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</si>
  <si>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</si>
  <si>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</si>
  <si>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</si>
  <si>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</si>
  <si>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</si>
  <si>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</si>
  <si>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</si>
  <si>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</si>
  <si>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</si>
  <si>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</si>
  <si>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</si>
  <si>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</si>
  <si>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</si>
  <si>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</si>
  <si>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</si>
  <si>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</si>
  <si>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</si>
  <si>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</si>
  <si>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</si>
  <si>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</si>
  <si>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</si>
  <si>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</si>
  <si>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</si>
  <si>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</si>
  <si>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</si>
  <si>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</si>
  <si>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</si>
  <si>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</si>
  <si>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</si>
  <si>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</si>
  <si>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</si>
  <si>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</si>
  <si>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</si>
  <si>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</si>
  <si>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</si>
  <si>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</si>
  <si>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</si>
  <si>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</si>
  <si>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</si>
  <si>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</si>
  <si>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</si>
  <si>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</si>
  <si>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</si>
  <si>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</si>
  <si>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</si>
  <si>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</si>
  <si>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</si>
  <si>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</si>
  <si>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</si>
  <si>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</si>
  <si>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</si>
  <si>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</si>
  <si>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</si>
  <si>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</si>
  <si>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</si>
  <si>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</si>
  <si>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</si>
  <si>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</si>
  <si>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</si>
  <si>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</si>
  <si>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</si>
  <si>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</si>
  <si>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</si>
  <si>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</si>
  <si>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</si>
  <si>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</si>
  <si>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</si>
  <si>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</si>
  <si>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</si>
  <si>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</si>
  <si>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</si>
  <si>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</si>
  <si>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</si>
  <si>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</si>
  <si>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</si>
  <si>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</si>
  <si>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</si>
  <si>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</si>
  <si>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</si>
  <si>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</si>
  <si>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</si>
  <si>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</si>
  <si>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</si>
  <si>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</si>
  <si>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</si>
  <si>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</si>
  <si>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</si>
  <si>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</si>
  <si>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</si>
  <si>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</si>
  <si>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</si>
  <si>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</si>
  <si>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</si>
  <si>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</si>
  <si>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</si>
  <si>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</si>
  <si>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</si>
  <si>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</si>
  <si>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</si>
  <si>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</si>
  <si>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</si>
  <si>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</si>
  <si>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</si>
  <si>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</si>
  <si>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</si>
  <si>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</si>
  <si>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</si>
  <si>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</si>
  <si>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</si>
  <si>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</si>
  <si>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</si>
  <si>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</si>
  <si>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</si>
  <si>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</si>
  <si>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</si>
  <si>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</si>
  <si>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</si>
  <si>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</si>
  <si>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</si>
  <si>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</si>
  <si>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</si>
  <si>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</si>
  <si>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</si>
  <si>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</si>
  <si>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</si>
  <si>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</si>
  <si>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</si>
  <si>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</si>
  <si>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</si>
  <si>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</si>
  <si>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</si>
  <si>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</si>
  <si>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</si>
  <si>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</si>
  <si>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</si>
  <si>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</si>
  <si>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</si>
  <si>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</si>
  <si>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</si>
  <si>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</si>
  <si>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</si>
  <si>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</si>
  <si>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</si>
  <si>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</si>
  <si>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</si>
  <si>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</si>
  <si>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</si>
  <si>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</si>
  <si>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</si>
  <si>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</si>
  <si>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</si>
  <si>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</si>
  <si>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</si>
  <si>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</si>
  <si>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</si>
  <si>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</si>
  <si>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</si>
  <si>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</si>
  <si>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</si>
  <si>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</si>
  <si>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</si>
  <si>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</si>
  <si>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</si>
  <si>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</si>
  <si>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</si>
  <si>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</si>
  <si>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</si>
  <si>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</si>
  <si>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</si>
  <si>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</si>
  <si>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</si>
  <si>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</si>
  <si>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</si>
  <si>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</si>
  <si>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</si>
  <si>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</si>
  <si>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</si>
  <si>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</si>
  <si>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</si>
  <si>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</si>
  <si>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</si>
  <si>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</si>
  <si>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</si>
  <si>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</si>
  <si>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</si>
  <si>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</si>
  <si>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</si>
  <si>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</si>
  <si>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</si>
  <si>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</si>
  <si>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</si>
  <si>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</si>
  <si>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</si>
  <si>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</si>
  <si>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</si>
  <si>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</si>
  <si>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</si>
  <si>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</si>
  <si>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</si>
  <si>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</si>
  <si>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</si>
  <si>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</si>
  <si>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</si>
  <si>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</si>
  <si>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</si>
  <si>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</si>
  <si>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</si>
  <si>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</si>
  <si>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</si>
  <si>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</si>
  <si>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</si>
  <si>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</si>
  <si>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</si>
  <si>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</si>
  <si>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</si>
  <si>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</si>
  <si>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</si>
  <si>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</si>
  <si>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</si>
  <si>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</si>
  <si>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</si>
  <si>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</si>
  <si>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</si>
  <si>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</si>
  <si>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</si>
  <si>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</si>
  <si>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</si>
  <si>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</si>
  <si>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</si>
  <si>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</si>
  <si>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</si>
  <si>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</si>
  <si>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</si>
  <si>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</si>
  <si>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</si>
  <si>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</si>
  <si>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</si>
  <si>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</si>
  <si>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</si>
  <si>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</si>
  <si>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</si>
  <si>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</si>
  <si>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</si>
  <si>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</si>
  <si>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</si>
  <si>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</si>
  <si>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</si>
  <si>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</si>
  <si>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</si>
  <si>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</si>
  <si>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</si>
  <si>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</si>
  <si>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</si>
  <si>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</si>
  <si>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</si>
  <si>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</si>
  <si>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</si>
  <si>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</si>
  <si>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</si>
  <si>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</si>
  <si>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</si>
  <si>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</si>
  <si>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</si>
  <si>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</si>
  <si>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</si>
  <si>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</si>
  <si>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</si>
  <si>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</si>
  <si>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</si>
  <si>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</si>
  <si>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</si>
  <si>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</si>
  <si>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</si>
  <si>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</si>
  <si>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</si>
  <si>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</si>
  <si>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</si>
  <si>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</si>
  <si>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</si>
  <si>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</si>
  <si>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</si>
  <si>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</si>
  <si>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</si>
  <si>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</si>
  <si>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</si>
  <si>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</si>
  <si>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</si>
  <si>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</si>
  <si>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</si>
  <si>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</si>
  <si>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</si>
  <si>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</si>
  <si>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</si>
  <si>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</si>
  <si>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</si>
  <si>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</si>
  <si>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</si>
  <si>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</si>
  <si>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</si>
  <si>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</si>
  <si>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</si>
  <si>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</si>
  <si>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</si>
  <si>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</si>
  <si>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</si>
  <si>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</si>
  <si>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</si>
  <si>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</si>
  <si>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</si>
  <si>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</si>
  <si>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</si>
  <si>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</si>
  <si>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</si>
  <si>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</si>
  <si>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</si>
  <si>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</si>
  <si>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</si>
  <si>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</si>
  <si>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</si>
  <si>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</si>
  <si>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</si>
  <si>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</si>
  <si>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</si>
  <si>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</si>
  <si>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</si>
  <si>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</si>
  <si>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</si>
  <si>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</si>
  <si>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</si>
  <si>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</si>
  <si>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</si>
  <si>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</si>
  <si>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</si>
  <si>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</si>
  <si>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</si>
  <si>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</si>
  <si>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</si>
  <si>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</si>
  <si>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</si>
  <si>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</si>
  <si>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</si>
  <si>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</si>
  <si>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</si>
  <si>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</si>
  <si>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</si>
  <si>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</si>
  <si>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</si>
  <si>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</si>
  <si>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</si>
  <si>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</si>
  <si>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</si>
  <si>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</si>
  <si>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</si>
  <si>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</si>
  <si>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</si>
  <si>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</si>
  <si>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</si>
  <si>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</si>
  <si>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</si>
  <si>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</si>
  <si>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</si>
  <si>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</si>
  <si>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</si>
  <si>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</si>
  <si>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</si>
  <si>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</si>
  <si>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</si>
  <si>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</si>
  <si>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</si>
  <si>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</si>
  <si>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</si>
  <si>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</si>
  <si>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</si>
  <si>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</si>
  <si>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</si>
  <si>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</si>
  <si>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</si>
  <si>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</si>
  <si>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</si>
  <si>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</si>
  <si>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</si>
  <si>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</si>
  <si>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</si>
  <si>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</si>
  <si>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</si>
  <si>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</si>
  <si>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</si>
  <si>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</si>
  <si>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</si>
  <si>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</si>
  <si>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</si>
  <si>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</si>
  <si>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</si>
  <si>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</si>
  <si>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</si>
  <si>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</si>
  <si>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</si>
  <si>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</si>
  <si>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</si>
  <si>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</si>
  <si>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</si>
  <si>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</si>
  <si>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</si>
  <si>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</si>
  <si>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</si>
  <si>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</si>
  <si>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</si>
  <si>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</si>
  <si>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</si>
  <si>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</si>
  <si>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</si>
  <si>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</si>
  <si>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</si>
  <si>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</si>
  <si>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</si>
  <si>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</si>
  <si>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</si>
  <si>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</si>
  <si>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</si>
  <si>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</si>
  <si>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</si>
  <si>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</si>
  <si>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</si>
  <si>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</si>
  <si>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</si>
  <si>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</si>
  <si>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</si>
  <si>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</si>
  <si>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</si>
  <si>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</si>
  <si>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</si>
  <si>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</si>
  <si>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</si>
  <si>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</si>
  <si>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</si>
  <si>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</si>
  <si>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</si>
  <si>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</si>
  <si>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</si>
  <si>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</si>
  <si>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</si>
  <si>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</si>
  <si>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</si>
  <si>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</si>
  <si>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</si>
  <si>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</si>
  <si>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</si>
  <si>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</si>
  <si>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</si>
  <si>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</si>
  <si>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</si>
  <si>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</si>
  <si>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</si>
  <si>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</si>
  <si>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</si>
  <si>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</si>
  <si>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</si>
  <si>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</si>
  <si>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</si>
  <si>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</si>
  <si>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</si>
  <si>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</si>
  <si>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</si>
  <si>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</si>
  <si>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</si>
  <si>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</si>
  <si>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</si>
  <si>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</si>
  <si>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</si>
  <si>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</si>
  <si>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</si>
  <si>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</si>
  <si>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</si>
  <si>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</si>
  <si>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</si>
  <si>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</si>
  <si>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</si>
  <si>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</si>
  <si>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</si>
  <si>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</si>
  <si>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</si>
  <si>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</si>
  <si>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</si>
  <si>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</si>
  <si>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</si>
  <si>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</si>
  <si>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</si>
  <si>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</si>
  <si>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</si>
  <si>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</si>
  <si>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</si>
  <si>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</si>
  <si>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</si>
  <si>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</si>
  <si>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</si>
  <si>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</si>
  <si>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</si>
  <si>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</si>
  <si>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</si>
  <si>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</si>
  <si>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</si>
  <si>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</si>
  <si>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</si>
  <si>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</si>
  <si>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</si>
  <si>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</si>
  <si>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</si>
  <si>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</si>
  <si>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</si>
  <si>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</si>
  <si>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</si>
  <si>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</si>
  <si>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</si>
  <si>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</si>
  <si>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</si>
  <si>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</si>
  <si>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</si>
  <si>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</si>
  <si>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</si>
  <si>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</si>
  <si>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</si>
  <si>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</si>
  <si>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</si>
  <si>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</si>
  <si>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</si>
  <si>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</si>
  <si>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</si>
  <si>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</si>
  <si>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</si>
  <si>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</si>
  <si>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</si>
  <si>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</si>
  <si>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</si>
  <si>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</si>
  <si>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</si>
  <si>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</si>
  <si>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</si>
  <si>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</si>
  <si>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</si>
  <si>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</si>
  <si>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</si>
  <si>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</si>
  <si>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</si>
  <si>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</si>
  <si>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</si>
  <si>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</si>
  <si>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</si>
  <si>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</si>
  <si>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</si>
  <si>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</si>
  <si>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</si>
  <si>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</si>
  <si>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</si>
  <si>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</si>
  <si>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</si>
  <si>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</si>
  <si>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</si>
  <si>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</si>
  <si>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</si>
  <si>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</si>
  <si>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</si>
  <si>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</si>
  <si>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</si>
  <si>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</si>
  <si>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</si>
  <si>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</si>
  <si>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</si>
  <si>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</si>
  <si>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</si>
  <si>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</si>
  <si>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</si>
  <si>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</si>
  <si>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</si>
  <si>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</si>
  <si>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</si>
  <si>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</si>
  <si>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</si>
  <si>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</si>
  <si>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</si>
  <si>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</si>
  <si>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</si>
  <si>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</si>
  <si>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</si>
  <si>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</si>
  <si>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</si>
  <si>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</si>
  <si>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</si>
  <si>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</si>
  <si>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</si>
  <si>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</si>
  <si>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</si>
  <si>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</si>
  <si>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</si>
  <si>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</si>
  <si>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</si>
  <si>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</si>
  <si>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</si>
  <si>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</si>
  <si>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</si>
  <si>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</si>
  <si>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</si>
  <si>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</si>
  <si>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</si>
  <si>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</si>
  <si>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</si>
  <si>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</si>
  <si>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</si>
  <si>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</si>
  <si>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</si>
  <si>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</si>
  <si>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</si>
  <si>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</si>
  <si>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</si>
  <si>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</si>
  <si>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</si>
  <si>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</si>
  <si>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</si>
  <si>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</si>
  <si>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</si>
  <si>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</si>
  <si>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</si>
  <si>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</si>
  <si>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</si>
  <si>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</si>
  <si>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</si>
  <si>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</si>
  <si>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</si>
  <si>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</si>
  <si>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</si>
  <si>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</si>
  <si>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</si>
  <si>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</si>
  <si>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</si>
  <si>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</si>
  <si>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</si>
  <si>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</si>
  <si>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</si>
  <si>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</si>
  <si>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</si>
  <si>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</si>
  <si>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</si>
  <si>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</si>
  <si>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</si>
  <si>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</si>
  <si>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</si>
  <si>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</si>
  <si>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</si>
  <si>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</si>
  <si>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</si>
  <si>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</si>
  <si>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</si>
  <si>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</si>
  <si>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</si>
  <si>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</si>
  <si>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</si>
  <si>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</si>
  <si>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</si>
  <si>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</si>
  <si>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</si>
  <si>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</si>
  <si>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</si>
  <si>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</si>
  <si>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</si>
  <si>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</si>
  <si>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</si>
  <si>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</si>
  <si>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</si>
  <si>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</si>
  <si>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</si>
  <si>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</si>
  <si>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</si>
  <si>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</si>
  <si>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</si>
  <si>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</si>
  <si>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</si>
  <si>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</si>
  <si>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</si>
  <si>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</si>
  <si>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</si>
  <si>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</si>
  <si>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</si>
  <si>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</si>
  <si>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</si>
  <si>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</si>
  <si>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</si>
  <si>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</si>
  <si>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</si>
  <si>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</si>
  <si>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</si>
  <si>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</si>
  <si>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</si>
  <si>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</si>
  <si>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</si>
  <si>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</si>
  <si>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</si>
  <si>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</si>
  <si>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</si>
  <si>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</si>
  <si>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</si>
  <si>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</si>
  <si>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</si>
  <si>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</si>
  <si>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</si>
  <si>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</si>
  <si>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</si>
  <si>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</si>
  <si>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</si>
  <si>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</si>
  <si>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</si>
  <si>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</si>
  <si>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</si>
  <si>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</si>
  <si>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</si>
  <si>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</si>
  <si>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</si>
  <si>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</si>
  <si>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</si>
  <si>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</si>
  <si>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</si>
  <si>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</si>
  <si>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</si>
  <si>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</si>
  <si>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</si>
  <si>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</si>
  <si>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</si>
  <si>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</si>
  <si>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</si>
  <si>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</si>
  <si>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</si>
  <si>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</si>
  <si>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</si>
  <si>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</si>
  <si>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</si>
  <si>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</si>
  <si>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</si>
  <si>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</si>
  <si>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</si>
  <si>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</si>
  <si>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</si>
  <si>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</si>
  <si>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</si>
  <si>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</si>
  <si>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</si>
  <si>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</si>
  <si>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</si>
  <si>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</si>
  <si>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</si>
  <si>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</si>
  <si>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</si>
  <si>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</si>
  <si>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</si>
  <si>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</si>
  <si>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</si>
  <si>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</si>
  <si>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</si>
  <si>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</si>
  <si>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</si>
  <si>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</si>
  <si>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</si>
  <si>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</si>
  <si>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</si>
  <si>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</si>
  <si>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</si>
  <si>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</si>
  <si>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</si>
  <si>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</si>
  <si>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</si>
  <si>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</si>
  <si>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</si>
  <si>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</si>
  <si>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</si>
  <si>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</si>
  <si>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</si>
  <si>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</si>
  <si>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</si>
  <si>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</si>
  <si>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</si>
  <si>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</si>
  <si>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</si>
  <si>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</si>
  <si>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</si>
  <si>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</si>
  <si>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</si>
  <si>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</si>
  <si>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</si>
  <si>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</si>
  <si>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</si>
  <si>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</si>
  <si>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</si>
  <si>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</si>
  <si>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</si>
  <si>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</si>
  <si>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</si>
  <si>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</si>
  <si>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</si>
  <si>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</si>
  <si>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</si>
  <si>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</si>
  <si>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</si>
  <si>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</si>
  <si>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</si>
  <si>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</si>
  <si>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</si>
  <si>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</si>
  <si>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</si>
  <si>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</si>
  <si>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</si>
  <si>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</si>
  <si>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</si>
  <si>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</si>
  <si>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</si>
  <si>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</si>
  <si>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</si>
  <si>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</si>
  <si>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</si>
  <si>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</si>
  <si>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</si>
  <si>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</si>
  <si>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</si>
  <si>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</si>
  <si>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</si>
  <si>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</si>
  <si>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</si>
  <si>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</si>
  <si>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</si>
  <si>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</si>
  <si>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</si>
  <si>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</si>
  <si>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</si>
  <si>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</si>
  <si>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</si>
  <si>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</si>
  <si>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</si>
  <si>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</si>
  <si>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</si>
  <si>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</si>
  <si>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</si>
  <si>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</si>
  <si>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</si>
  <si>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</si>
  <si>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</si>
  <si>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</si>
  <si>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</si>
  <si>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</si>
  <si>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</si>
  <si>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</si>
  <si>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</si>
  <si>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</si>
  <si>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</si>
  <si>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</si>
  <si>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</si>
  <si>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</si>
  <si>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</si>
  <si>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</si>
  <si>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</si>
  <si>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</si>
  <si>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</si>
  <si>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</si>
  <si>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</si>
  <si>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</si>
  <si>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</si>
  <si>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</si>
  <si>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</si>
  <si>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</si>
  <si>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</si>
  <si>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</si>
  <si>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</si>
  <si>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</si>
  <si>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</si>
  <si>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</si>
  <si>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</si>
  <si>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</si>
  <si>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</si>
  <si>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</si>
  <si>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</si>
  <si>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</si>
  <si>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</si>
  <si>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</si>
  <si>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</si>
  <si>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</si>
  <si>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</si>
  <si>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</si>
  <si>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</si>
  <si>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</si>
  <si>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</si>
  <si>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</si>
  <si>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</si>
  <si>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</si>
  <si>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</si>
  <si>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</si>
  <si>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</si>
  <si>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</si>
  <si>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</si>
  <si>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</si>
  <si>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</si>
  <si>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</si>
  <si>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</si>
  <si>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</si>
  <si>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</si>
  <si>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</si>
  <si>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</si>
  <si>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</si>
  <si>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</si>
  <si>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</si>
  <si>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</si>
  <si>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</si>
  <si>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</si>
  <si>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</si>
  <si>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</si>
  <si>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</si>
  <si>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</si>
  <si>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</si>
  <si>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</si>
  <si>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</si>
  <si>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</si>
  <si>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</si>
  <si>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</si>
  <si>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</si>
  <si>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</si>
  <si>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</si>
  <si>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</si>
  <si>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</si>
  <si>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</si>
  <si>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</si>
  <si>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</si>
  <si>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</si>
  <si>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</si>
  <si>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</si>
  <si>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</si>
  <si>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</si>
  <si>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</si>
  <si>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</si>
  <si>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</si>
  <si>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</si>
  <si>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</si>
  <si>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</si>
  <si>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</si>
  <si>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</si>
  <si>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</si>
  <si>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</si>
  <si>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</si>
  <si>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</si>
  <si>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</si>
  <si>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</si>
  <si>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</si>
  <si>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</si>
  <si>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</si>
  <si>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</si>
  <si>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</si>
  <si>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</si>
  <si>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</si>
  <si>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</si>
  <si>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</si>
  <si>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</si>
  <si>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</si>
  <si>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</si>
  <si>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</si>
  <si>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</si>
  <si>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</si>
  <si>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</si>
  <si>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</si>
  <si>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</si>
  <si>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</si>
  <si>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</si>
  <si>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</si>
  <si>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</si>
  <si>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</si>
  <si>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</si>
  <si>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</si>
  <si>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</si>
  <si>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</si>
  <si>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</si>
  <si>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</si>
  <si>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</si>
  <si>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</si>
  <si>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</si>
  <si>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</si>
  <si>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</si>
  <si>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</si>
  <si>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</si>
  <si>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</si>
  <si>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</si>
  <si>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</si>
  <si>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</si>
  <si>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</si>
  <si>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</si>
  <si>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</si>
  <si>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</si>
  <si>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</si>
  <si>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</si>
  <si>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</si>
  <si>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</si>
  <si>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</si>
  <si>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</si>
  <si>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</si>
  <si>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</si>
  <si>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</si>
  <si>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</si>
  <si>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</si>
  <si>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</si>
  <si>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</si>
  <si>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</si>
  <si>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</si>
  <si>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</si>
  <si>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</si>
  <si>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</si>
  <si>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</si>
  <si>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</si>
  <si>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</si>
  <si>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</si>
  <si>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</si>
  <si>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</si>
  <si>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</si>
  <si>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</si>
  <si>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</si>
  <si>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</si>
  <si>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</si>
  <si>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</si>
  <si>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</si>
  <si>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</si>
  <si>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</si>
  <si>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</si>
  <si>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</si>
  <si>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</si>
  <si>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</si>
  <si>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</si>
  <si>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</si>
  <si>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</si>
  <si>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</si>
  <si>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</si>
  <si>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</si>
  <si>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</si>
  <si>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</si>
  <si>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</si>
  <si>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</si>
  <si>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</si>
  <si>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</si>
  <si>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</si>
  <si>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</si>
  <si>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</si>
  <si>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</si>
  <si>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</si>
  <si>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</si>
  <si>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</si>
  <si>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</si>
  <si>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</si>
  <si>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</si>
  <si>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</si>
  <si>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</si>
  <si>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</si>
  <si>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</si>
  <si>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</si>
  <si>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</si>
  <si>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</si>
  <si>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</si>
  <si>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</si>
  <si>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</si>
  <si>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</si>
  <si>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</si>
  <si>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</si>
  <si>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</si>
  <si>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</si>
  <si>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</si>
  <si>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</si>
  <si>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</si>
  <si>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</si>
  <si>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</si>
  <si>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</si>
  <si>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</si>
  <si>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</si>
  <si>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</si>
  <si>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</si>
  <si>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</si>
  <si>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</si>
  <si>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</si>
  <si>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</si>
  <si>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</si>
  <si>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</si>
  <si>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</si>
  <si>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</si>
  <si>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</si>
  <si>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</si>
  <si>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</si>
  <si>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</si>
  <si>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</si>
  <si>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</si>
  <si>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</si>
  <si>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</si>
  <si>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</si>
  <si>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</si>
  <si>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</si>
  <si>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</si>
  <si>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</si>
  <si>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</si>
  <si>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</si>
  <si>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</si>
  <si>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</si>
  <si>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</si>
  <si>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</si>
  <si>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</si>
  <si>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</si>
  <si>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</si>
  <si>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</si>
  <si>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</si>
  <si>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</si>
  <si>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</si>
  <si>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</si>
  <si>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</si>
  <si>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</si>
  <si>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</si>
  <si>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</si>
  <si>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</si>
  <si>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</si>
  <si>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</si>
  <si>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</si>
  <si>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</si>
  <si>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</si>
  <si>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</si>
  <si>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</si>
  <si>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</si>
  <si>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</si>
  <si>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</si>
  <si>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</si>
  <si>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</si>
  <si>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</si>
  <si>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</si>
  <si>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</si>
  <si>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</si>
  <si>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</si>
  <si>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</si>
  <si>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</si>
  <si>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</si>
  <si>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</si>
  <si>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</si>
  <si>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</si>
  <si>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</si>
  <si>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</si>
  <si>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</si>
  <si>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</si>
  <si>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</si>
  <si>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</si>
  <si>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</si>
  <si>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</si>
  <si>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</si>
  <si>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</si>
  <si>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</si>
  <si>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</si>
  <si>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</si>
  <si>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</si>
  <si>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</si>
  <si>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</si>
  <si>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</si>
  <si>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</si>
  <si>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</si>
  <si>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</si>
  <si>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</si>
  <si>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</si>
  <si>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</si>
  <si>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</si>
  <si>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</si>
  <si>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</si>
  <si>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</si>
  <si>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</si>
  <si>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</si>
  <si>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</si>
  <si>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</si>
  <si>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</si>
  <si>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</si>
  <si>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</si>
  <si>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</si>
  <si>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</si>
  <si>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</si>
  <si>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</si>
  <si>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</si>
  <si>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</si>
  <si>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</si>
  <si>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</si>
  <si>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</si>
  <si>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</si>
  <si>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</si>
  <si>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</si>
  <si>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</si>
  <si>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</si>
  <si>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</si>
  <si>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</si>
  <si>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</si>
  <si>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</si>
  <si>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</si>
  <si>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</si>
  <si>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</si>
  <si>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</si>
  <si>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</si>
  <si>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</si>
  <si>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</si>
  <si>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</si>
  <si>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</si>
  <si>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</si>
  <si>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</si>
  <si>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</si>
  <si>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</si>
  <si>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</si>
  <si>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</si>
  <si>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</si>
  <si>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</si>
  <si>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</si>
  <si>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</si>
  <si>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</si>
  <si>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</si>
  <si>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</si>
  <si>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</si>
  <si>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</si>
  <si>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</si>
  <si>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</si>
  <si>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</si>
  <si>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</si>
  <si>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</si>
  <si>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</si>
  <si>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</si>
  <si>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</si>
  <si>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</si>
  <si>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</si>
  <si>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</si>
  <si>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</si>
  <si>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</si>
  <si>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</si>
  <si>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</si>
  <si>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</si>
  <si>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</si>
  <si>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</si>
  <si>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</si>
  <si>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</si>
  <si>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</si>
  <si>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</si>
  <si>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</si>
  <si>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</si>
  <si>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</si>
  <si>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</si>
  <si>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</si>
  <si>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</si>
  <si>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</si>
  <si>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</si>
  <si>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</si>
  <si>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</si>
  <si>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</si>
  <si>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</si>
  <si>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</si>
  <si>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</si>
  <si>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</si>
  <si>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</si>
  <si>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</si>
  <si>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</si>
  <si>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</si>
  <si>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</si>
  <si>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</si>
  <si>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</si>
  <si>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</si>
  <si>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</si>
  <si>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</si>
  <si>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</si>
  <si>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</si>
  <si>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</si>
  <si>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</si>
  <si>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</si>
  <si>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</si>
  <si>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</si>
  <si>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</si>
  <si>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</si>
  <si>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</si>
  <si>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</si>
  <si>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</si>
  <si>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</si>
  <si>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</si>
  <si>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</si>
  <si>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</si>
  <si>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</si>
  <si>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</si>
  <si>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</si>
  <si>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</si>
  <si>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</si>
  <si>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</si>
  <si>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</si>
  <si>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</si>
  <si>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</si>
  <si>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</si>
  <si>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</si>
  <si>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</si>
  <si>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</si>
  <si>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</si>
  <si>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</si>
  <si>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</si>
  <si>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</si>
  <si>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</si>
  <si>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</si>
  <si>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</si>
  <si>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</si>
  <si>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</si>
  <si>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</si>
  <si>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</si>
  <si>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</si>
  <si>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</si>
  <si>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</si>
  <si>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</si>
  <si>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</si>
  <si>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</si>
  <si>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</si>
  <si>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</si>
  <si>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</si>
  <si>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</si>
  <si>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</si>
  <si>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</si>
  <si>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</si>
  <si>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</si>
  <si>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</si>
  <si>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</si>
  <si>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</si>
  <si>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</si>
  <si>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</si>
  <si>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</si>
  <si>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</si>
  <si>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</si>
  <si>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</si>
  <si>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</si>
  <si>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</si>
  <si>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</si>
  <si>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</si>
  <si>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</si>
  <si>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</si>
  <si>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</si>
  <si>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</si>
  <si>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</si>
  <si>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</si>
  <si>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</si>
  <si>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</si>
  <si>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</si>
  <si>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</si>
  <si>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</si>
  <si>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</si>
  <si>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</si>
  <si>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</si>
  <si>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</si>
  <si>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</si>
  <si>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</si>
  <si>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</si>
  <si>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</si>
  <si>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</si>
  <si>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</si>
  <si>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</si>
  <si>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</si>
  <si>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</si>
  <si>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</si>
  <si>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</si>
  <si>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</si>
  <si>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</si>
  <si>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</si>
  <si>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</si>
  <si>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</si>
  <si>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</si>
  <si>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</si>
  <si>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</si>
  <si>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</si>
  <si>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</si>
  <si>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</si>
  <si>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</si>
  <si>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</si>
  <si>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</si>
  <si>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</si>
  <si>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</si>
  <si>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</si>
  <si>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</si>
  <si>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</si>
  <si>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</si>
  <si>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</si>
  <si>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</si>
  <si>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</si>
  <si>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</si>
  <si>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</si>
  <si>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</si>
  <si>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</si>
  <si>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</si>
  <si>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</si>
  <si>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</si>
  <si>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</si>
  <si>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</si>
  <si>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</si>
  <si>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</si>
  <si>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</si>
  <si>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</si>
  <si>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</si>
  <si>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</si>
  <si>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</si>
  <si>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</si>
  <si>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</si>
  <si>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</si>
  <si>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</si>
  <si>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</si>
  <si>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</si>
  <si>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</si>
  <si>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</si>
  <si>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</si>
  <si>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</si>
  <si>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</si>
  <si>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</si>
  <si>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</si>
  <si>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</si>
  <si>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</si>
  <si>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</si>
  <si>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</si>
  <si>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</si>
  <si>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</si>
  <si>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</si>
  <si>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</si>
  <si>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</si>
  <si>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</si>
  <si>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</si>
  <si>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</si>
  <si>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</si>
  <si>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</si>
  <si>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</si>
  <si>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</si>
  <si>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</si>
  <si>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</si>
  <si>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</si>
  <si>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</si>
  <si>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</si>
  <si>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</si>
  <si>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</si>
  <si>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</si>
  <si>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</si>
  <si>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</si>
  <si>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</si>
  <si>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</si>
  <si>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</si>
  <si>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</si>
  <si>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</si>
  <si>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</si>
  <si>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</si>
  <si>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</si>
  <si>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</si>
  <si>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</si>
  <si>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</si>
  <si>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</si>
  <si>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</si>
  <si>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</si>
  <si>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</si>
  <si>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</si>
  <si>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</si>
  <si>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</si>
  <si>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</si>
  <si>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</si>
  <si>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</si>
  <si>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</si>
  <si>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</si>
  <si>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</si>
  <si>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</si>
  <si>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</si>
  <si>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</si>
  <si>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</si>
  <si>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</si>
  <si>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</si>
  <si>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</si>
  <si>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</si>
  <si>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</si>
  <si>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</si>
  <si>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</si>
  <si>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</si>
  <si>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</si>
  <si>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</si>
  <si>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</si>
  <si>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</si>
  <si>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</si>
  <si>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</si>
  <si>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</si>
  <si>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</si>
  <si>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</si>
  <si>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</si>
  <si>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</si>
  <si>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</si>
  <si>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</si>
  <si>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</si>
  <si>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</si>
  <si>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</si>
  <si>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</si>
  <si>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</si>
  <si>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</si>
  <si>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</si>
  <si>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</si>
  <si>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</si>
  <si>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</si>
  <si>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</si>
  <si>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</si>
  <si>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</si>
  <si>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</si>
  <si>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</si>
  <si>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</si>
  <si>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</si>
  <si>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</si>
  <si>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</si>
  <si>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</si>
  <si>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</si>
  <si>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</si>
  <si>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</si>
  <si>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</si>
  <si>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</si>
  <si>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</si>
  <si>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</si>
  <si>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</si>
  <si>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</si>
  <si>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</si>
  <si>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</si>
  <si>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</si>
  <si>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</si>
  <si>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</si>
  <si>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</si>
  <si>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</si>
  <si>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</si>
  <si>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</si>
  <si>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</si>
  <si>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</si>
  <si>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</si>
  <si>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</si>
  <si>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</si>
  <si>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</si>
  <si>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</si>
  <si>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</si>
  <si>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</si>
  <si>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</si>
  <si>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</si>
  <si>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</si>
  <si>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</si>
  <si>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</si>
  <si>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</si>
  <si>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</si>
  <si>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</si>
  <si>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</si>
  <si>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</si>
  <si>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</si>
  <si>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</si>
  <si>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</si>
  <si>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</si>
  <si>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</si>
  <si>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</si>
  <si>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</si>
  <si>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</si>
  <si>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</si>
  <si>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</si>
  <si>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</si>
  <si>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</si>
  <si>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</si>
  <si>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</si>
  <si>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</si>
  <si>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</si>
  <si>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</si>
  <si>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</si>
  <si>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</si>
  <si>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</si>
  <si>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</si>
  <si>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</si>
  <si>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</si>
  <si>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</si>
  <si>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</si>
  <si>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</si>
  <si>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</si>
  <si>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</si>
  <si>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</si>
  <si>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</si>
  <si>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</si>
  <si>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</si>
  <si>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</si>
  <si>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</si>
  <si>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</si>
  <si>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</si>
  <si>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</si>
  <si>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</si>
  <si>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</si>
  <si>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</si>
  <si>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</si>
  <si>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</si>
  <si>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</si>
  <si>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</si>
  <si>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</si>
  <si>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</si>
  <si>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</si>
  <si>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</si>
  <si>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</si>
  <si>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</si>
  <si>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</si>
  <si>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</si>
  <si>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</si>
  <si>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</si>
  <si>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</si>
  <si>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</si>
  <si>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</si>
  <si>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</si>
  <si>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</si>
  <si>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</si>
  <si>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</si>
  <si>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</si>
  <si>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</si>
  <si>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</si>
  <si>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</si>
  <si>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</si>
  <si>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</si>
  <si>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</si>
  <si>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</si>
  <si>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</si>
  <si>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</si>
  <si>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</si>
  <si>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</si>
  <si>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</si>
  <si>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</si>
  <si>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</si>
  <si>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</si>
  <si>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</si>
  <si>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</si>
  <si>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</si>
  <si>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</si>
  <si>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</si>
  <si>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</si>
  <si>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</si>
  <si>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</si>
  <si>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</si>
  <si>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</si>
  <si>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</si>
  <si>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</si>
  <si>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</si>
  <si>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</si>
  <si>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</si>
  <si>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</si>
  <si>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</si>
  <si>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</si>
  <si>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</si>
  <si>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</si>
  <si>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</si>
  <si>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</si>
  <si>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</si>
  <si>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</si>
  <si>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</si>
  <si>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</si>
  <si>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</si>
  <si>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</si>
  <si>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</si>
  <si>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</si>
  <si>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</si>
  <si>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</si>
  <si>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</si>
  <si>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</si>
  <si>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</si>
  <si>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</si>
  <si>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</si>
  <si>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</si>
  <si>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</si>
  <si>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</si>
  <si>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</si>
  <si>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</si>
  <si>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</si>
  <si>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</si>
  <si>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</si>
  <si>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</si>
  <si>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</si>
  <si>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</si>
  <si>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</si>
  <si>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</si>
  <si>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</si>
  <si>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</si>
  <si>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</si>
  <si>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</si>
  <si>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</si>
  <si>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</si>
  <si>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</si>
  <si>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</si>
  <si>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</si>
  <si>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</si>
  <si>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</si>
  <si>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</si>
  <si>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</si>
  <si>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</si>
  <si>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</si>
  <si>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</si>
  <si>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</si>
  <si>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</si>
  <si>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</si>
  <si>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</si>
  <si>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</si>
  <si>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</si>
  <si>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</si>
  <si>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</si>
  <si>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</si>
  <si>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</si>
  <si>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</si>
  <si>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</si>
  <si>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</si>
  <si>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</si>
  <si>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</si>
  <si>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</si>
  <si>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</si>
  <si>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</si>
  <si>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</si>
  <si>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</si>
  <si>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</si>
  <si>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</si>
  <si>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</si>
  <si>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</si>
  <si>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</si>
  <si>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</si>
  <si>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</si>
  <si>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</si>
  <si>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</si>
  <si>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</si>
  <si>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</si>
  <si>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</si>
  <si>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</si>
  <si>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</si>
  <si>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</si>
  <si>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</si>
  <si>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</si>
  <si>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</si>
  <si>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</si>
  <si>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</si>
  <si>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</si>
  <si>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</si>
  <si>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</si>
  <si>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</si>
  <si>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</si>
  <si>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</si>
  <si>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</si>
  <si>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</si>
  <si>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</si>
  <si>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</si>
  <si>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</si>
  <si>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</si>
  <si>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</si>
  <si>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</si>
  <si>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</si>
  <si>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</si>
  <si>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</si>
  <si>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</si>
  <si>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</si>
  <si>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</si>
  <si>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</si>
  <si>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</si>
  <si>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</si>
  <si>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</si>
  <si>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</si>
  <si>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</si>
  <si>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</si>
  <si>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</si>
  <si>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</si>
  <si>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</si>
  <si>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</si>
  <si>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</si>
  <si>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</si>
  <si>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</si>
  <si>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</si>
  <si>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</si>
  <si>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</si>
  <si>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</si>
  <si>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</si>
  <si>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</si>
  <si>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</si>
  <si>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</si>
  <si>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</si>
  <si>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</si>
  <si>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</si>
  <si>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</si>
  <si>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</si>
  <si>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</si>
  <si>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</si>
  <si>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</si>
  <si>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</si>
  <si>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</si>
  <si>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</si>
  <si>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</si>
  <si>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</si>
  <si>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</si>
  <si>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</si>
  <si>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</si>
  <si>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</si>
  <si>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</si>
  <si>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</si>
  <si>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</si>
  <si>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</si>
  <si>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</si>
  <si>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</si>
  <si>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</si>
  <si>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</si>
  <si>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</si>
  <si>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</si>
  <si>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</si>
  <si>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</si>
  <si>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</si>
  <si>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</si>
  <si>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</si>
  <si>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</si>
  <si>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</si>
  <si>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</si>
  <si>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</si>
  <si>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</si>
  <si>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</si>
  <si>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</si>
  <si>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</si>
  <si>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</si>
  <si>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</si>
  <si>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</si>
  <si>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</si>
  <si>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</si>
  <si>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</si>
  <si>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</si>
  <si>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</si>
  <si>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</si>
  <si>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</si>
  <si>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</si>
  <si>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</si>
  <si>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</si>
  <si>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</si>
  <si>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</si>
  <si>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</si>
  <si>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</si>
  <si>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</si>
  <si>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</si>
  <si>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</si>
  <si>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</si>
  <si>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</si>
  <si>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</si>
  <si>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</si>
  <si>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</si>
  <si>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</si>
  <si>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</si>
  <si>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</si>
  <si>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</si>
  <si>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</si>
  <si>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</si>
  <si>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</si>
  <si>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</si>
  <si>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</si>
  <si>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</si>
  <si>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</si>
  <si>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</si>
  <si>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</si>
  <si>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</si>
  <si>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</si>
  <si>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</si>
  <si>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</si>
  <si>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</si>
  <si>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</si>
  <si>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</si>
  <si>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</si>
  <si>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</si>
  <si>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</si>
  <si>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</si>
  <si>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</si>
  <si>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</si>
  <si>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</si>
  <si>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</si>
  <si>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</si>
  <si>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</si>
  <si>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</si>
  <si>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</si>
  <si>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</si>
  <si>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</si>
  <si>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</si>
  <si>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</si>
  <si>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</si>
  <si>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</si>
  <si>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</si>
  <si>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</si>
  <si>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</si>
  <si>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</si>
  <si>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</si>
  <si>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</si>
  <si>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</si>
  <si>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</si>
  <si>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</si>
  <si>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</si>
  <si>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</si>
  <si>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</si>
  <si>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</si>
  <si>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</si>
  <si>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</si>
  <si>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</si>
  <si>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</si>
  <si>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</si>
  <si>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</si>
  <si>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</si>
  <si>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</si>
  <si>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</si>
  <si>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</si>
  <si>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</si>
  <si>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</si>
  <si>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</si>
  <si>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</si>
  <si>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</si>
  <si>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</si>
  <si>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</si>
  <si>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</si>
  <si>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</si>
  <si>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</si>
  <si>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</si>
  <si>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</si>
  <si>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</si>
  <si>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</si>
  <si>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</si>
  <si>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</si>
  <si>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</si>
  <si>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</si>
  <si>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</si>
  <si>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</si>
  <si>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</si>
  <si>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</si>
  <si>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</si>
  <si>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</si>
  <si>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</si>
  <si>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</si>
  <si>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</si>
  <si>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</si>
  <si>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</si>
  <si>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</si>
  <si>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</si>
  <si>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</si>
  <si>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</si>
  <si>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</si>
  <si>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</si>
  <si>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</si>
  <si>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</si>
  <si>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</si>
  <si>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</si>
  <si>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</si>
  <si>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</si>
  <si>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</si>
  <si>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</si>
  <si>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</si>
  <si>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</si>
  <si>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</si>
  <si>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</si>
  <si>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</si>
  <si>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</si>
  <si>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</si>
  <si>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</si>
  <si>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</si>
  <si>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</si>
  <si>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</si>
  <si>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</si>
  <si>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</si>
  <si>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</si>
  <si>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</si>
  <si>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</si>
  <si>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</si>
  <si>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</si>
  <si>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</si>
  <si>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</si>
  <si>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</si>
  <si>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</si>
  <si>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</si>
  <si>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</si>
  <si>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</si>
  <si>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</si>
  <si>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</si>
  <si>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</si>
  <si>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</si>
  <si>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</si>
  <si>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</si>
  <si>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</si>
  <si>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</si>
  <si>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</si>
  <si>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</si>
  <si>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</si>
  <si>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</si>
  <si>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</si>
  <si>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</si>
  <si>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</si>
  <si>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</si>
  <si>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</si>
  <si>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</si>
  <si>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</si>
  <si>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</si>
  <si>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</si>
  <si>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</si>
  <si>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</si>
  <si>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</si>
  <si>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</si>
  <si>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</si>
  <si>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</si>
  <si>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</si>
  <si>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</si>
  <si>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</si>
  <si>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</si>
  <si>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</si>
  <si>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</si>
  <si>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</si>
  <si>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</si>
  <si>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</si>
  <si>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</si>
  <si>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</si>
  <si>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</si>
  <si>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</si>
  <si>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</si>
  <si>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</si>
  <si>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</si>
  <si>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</si>
  <si>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</si>
  <si>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</si>
  <si>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</si>
  <si>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</si>
  <si>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</si>
  <si>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</si>
  <si>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</si>
  <si>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</si>
  <si>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</si>
  <si>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</si>
  <si>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</si>
  <si>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</si>
  <si>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</si>
  <si>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</si>
  <si>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</si>
  <si>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</si>
  <si>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</si>
  <si>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</si>
  <si>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</si>
  <si>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</si>
  <si>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</si>
  <si>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</si>
  <si>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</si>
  <si>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</si>
  <si>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</si>
  <si>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</si>
  <si>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</si>
  <si>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</si>
  <si>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</si>
  <si>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</si>
  <si>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</si>
  <si>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</si>
  <si>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</si>
  <si>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</si>
  <si>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</si>
  <si>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</si>
  <si>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</si>
  <si>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</si>
  <si>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</si>
  <si>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</si>
  <si>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</si>
  <si>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</si>
  <si>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</si>
  <si>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</si>
  <si>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</si>
  <si>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</si>
  <si>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</si>
  <si>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</si>
  <si>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</si>
  <si>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</si>
  <si>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</si>
  <si>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</si>
  <si>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</si>
  <si>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</si>
  <si>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</si>
  <si>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</si>
  <si>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</si>
  <si>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</si>
  <si>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</si>
  <si>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</si>
  <si>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</si>
  <si>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</si>
  <si>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</si>
  <si>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</si>
  <si>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</si>
  <si>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</si>
  <si>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</si>
  <si>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</si>
  <si>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</si>
  <si>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</si>
  <si>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</si>
  <si>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</si>
  <si>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</si>
  <si>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</si>
  <si>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</si>
  <si>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</si>
  <si>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</si>
  <si>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</si>
  <si>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</si>
  <si>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</si>
  <si>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</si>
  <si>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</si>
  <si>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</si>
  <si>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</si>
  <si>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</si>
  <si>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</si>
  <si>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</si>
  <si>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</si>
  <si>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</si>
  <si>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</si>
  <si>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</si>
  <si>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</si>
  <si>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</si>
  <si>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</si>
  <si>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</si>
  <si>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</si>
  <si>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</si>
  <si>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</si>
  <si>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</si>
  <si>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</si>
  <si>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</si>
  <si>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</si>
  <si>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</si>
  <si>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</si>
  <si>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</si>
  <si>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</si>
  <si>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</si>
  <si>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</si>
  <si>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</si>
  <si>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</si>
  <si>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</si>
  <si>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</si>
  <si>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</si>
  <si>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</si>
  <si>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</si>
  <si>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</si>
  <si>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</si>
  <si>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</si>
  <si>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</si>
  <si>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</si>
  <si>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</si>
  <si>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</si>
  <si>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</si>
  <si>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</si>
  <si>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</si>
  <si>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</si>
  <si>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</si>
  <si>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</si>
  <si>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</si>
  <si>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</si>
  <si>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</si>
  <si>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</si>
  <si>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</si>
  <si>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</si>
  <si>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</si>
  <si>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</si>
  <si>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</si>
  <si>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</si>
  <si>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</si>
  <si>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</si>
  <si>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</si>
  <si>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</si>
  <si>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</si>
  <si>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</si>
  <si>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</si>
  <si>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</si>
  <si>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</si>
  <si>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</si>
  <si>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</si>
  <si>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</si>
  <si>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</si>
  <si>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</si>
  <si>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</si>
  <si>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</si>
  <si>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</si>
  <si>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</si>
  <si>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</si>
  <si>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</si>
  <si>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</si>
  <si>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</si>
  <si>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</si>
  <si>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</si>
  <si>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</si>
  <si>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</si>
  <si>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</si>
  <si>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</si>
  <si>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</si>
  <si>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</si>
  <si>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</si>
  <si>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</si>
  <si>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</si>
  <si>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</si>
  <si>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</si>
  <si>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</si>
  <si>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</si>
  <si>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</si>
  <si>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</si>
  <si>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</si>
  <si>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</si>
  <si>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</si>
  <si>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</si>
  <si>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</si>
  <si>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</si>
  <si>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</si>
  <si>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</si>
  <si>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</si>
  <si>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</si>
  <si>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</si>
  <si>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</si>
  <si>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</si>
  <si>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</si>
  <si>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</si>
  <si>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</si>
  <si>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</si>
  <si>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</si>
  <si>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</si>
  <si>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</si>
  <si>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</si>
  <si>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</si>
  <si>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</si>
  <si>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</si>
  <si>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</si>
  <si>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</si>
  <si>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</si>
  <si>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</si>
  <si>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</si>
  <si>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</si>
  <si>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</si>
  <si>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</si>
  <si>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</si>
  <si>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</si>
  <si>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</si>
  <si>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</si>
  <si>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</si>
  <si>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</si>
  <si>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</si>
  <si>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</si>
  <si>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</si>
  <si>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</si>
  <si>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</si>
  <si>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</si>
  <si>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</si>
  <si>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</si>
  <si>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</si>
  <si>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</si>
  <si>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</si>
  <si>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</si>
  <si>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</si>
  <si>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</si>
  <si>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</si>
  <si>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</si>
  <si>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</si>
  <si>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</si>
  <si>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</si>
  <si>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</si>
  <si>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</si>
  <si>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</si>
  <si>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</si>
  <si>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</si>
  <si>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</si>
  <si>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</si>
  <si>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</si>
  <si>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</si>
  <si>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</si>
  <si>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</si>
  <si>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</si>
  <si>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</si>
  <si>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</si>
  <si>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</si>
  <si>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</si>
  <si>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</si>
  <si>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</si>
  <si>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</si>
  <si>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</si>
  <si>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</si>
  <si>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</si>
  <si>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</si>
  <si>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</si>
  <si>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</si>
  <si>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</si>
  <si>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</si>
  <si>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</si>
  <si>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</si>
  <si>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</si>
  <si>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</si>
  <si>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</si>
  <si>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</si>
  <si>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</si>
  <si>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</si>
  <si>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</si>
  <si>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</si>
  <si>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</si>
  <si>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</si>
  <si>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</si>
  <si>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</si>
  <si>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</si>
  <si>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</si>
  <si>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</si>
  <si>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</si>
  <si>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</si>
  <si>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</si>
  <si>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</si>
  <si>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</si>
  <si>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</si>
  <si>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</si>
  <si>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</si>
  <si>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</si>
  <si>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</si>
  <si>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</si>
  <si>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</si>
  <si>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</si>
  <si>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</si>
  <si>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</si>
  <si>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</si>
  <si>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</si>
  <si>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</si>
  <si>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</si>
  <si>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</si>
  <si>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</si>
  <si>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</si>
  <si>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</si>
  <si>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</si>
  <si>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</si>
  <si>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</si>
  <si>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</si>
  <si>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</si>
  <si>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</si>
  <si>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</si>
  <si>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</si>
  <si>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</si>
  <si>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</si>
  <si>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</si>
  <si>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</si>
  <si>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</si>
  <si>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</si>
  <si>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</si>
  <si>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</si>
  <si>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</si>
  <si>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</si>
  <si>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</si>
  <si>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</si>
  <si>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</si>
  <si>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</si>
  <si>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</si>
  <si>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</si>
  <si>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</si>
  <si>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</si>
  <si>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</si>
  <si>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</si>
  <si>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</si>
  <si>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</si>
  <si>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</si>
  <si>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</si>
  <si>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</si>
  <si>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</si>
  <si>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</si>
  <si>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</si>
  <si>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</si>
  <si>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</si>
  <si>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</si>
  <si>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</si>
  <si>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</si>
  <si>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</si>
  <si>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</si>
  <si>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</si>
  <si>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</si>
  <si>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</si>
  <si>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</si>
  <si>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</si>
  <si>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</si>
  <si>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</si>
  <si>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</si>
  <si>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</si>
  <si>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</si>
  <si>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</si>
  <si>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</si>
  <si>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</si>
  <si>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</si>
  <si>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</si>
  <si>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</si>
  <si>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</si>
  <si>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</si>
  <si>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</si>
  <si>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</si>
  <si>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</si>
  <si>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</si>
  <si>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</si>
  <si>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</si>
  <si>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</si>
  <si>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</si>
  <si>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</si>
  <si>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</si>
  <si>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</si>
  <si>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</si>
  <si>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</si>
  <si>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</si>
  <si>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</si>
  <si>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</si>
  <si>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</si>
  <si>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</si>
  <si>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</si>
  <si>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</si>
  <si>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</si>
  <si>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</si>
  <si>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</si>
  <si>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</si>
  <si>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</si>
  <si>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</si>
  <si>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</si>
  <si>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</si>
  <si>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</si>
  <si>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</si>
  <si>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</si>
  <si>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</si>
  <si>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</si>
  <si>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</si>
  <si>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</si>
  <si>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</si>
  <si>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</si>
  <si>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</si>
  <si>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</si>
  <si>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</si>
  <si>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</si>
  <si>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</si>
  <si>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</si>
  <si>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</si>
  <si>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</si>
  <si>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</si>
  <si>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</si>
  <si>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</si>
  <si>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</si>
  <si>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</si>
  <si>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</si>
  <si>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</si>
  <si>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</si>
  <si>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</si>
  <si>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</si>
  <si>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</si>
  <si>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</si>
  <si>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</si>
  <si>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</si>
  <si>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</si>
  <si>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</si>
  <si>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</si>
  <si>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</si>
  <si>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</si>
  <si>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</si>
  <si>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</si>
  <si>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</si>
  <si>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</si>
  <si>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</si>
  <si>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</si>
  <si>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</si>
  <si>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</si>
  <si>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</si>
  <si>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</si>
  <si>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</si>
  <si>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</si>
  <si>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</si>
  <si>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</si>
  <si>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</si>
  <si>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</si>
  <si>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</si>
  <si>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</si>
  <si>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</si>
  <si>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</si>
  <si>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</si>
  <si>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</si>
  <si>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</si>
  <si>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</si>
  <si>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</si>
  <si>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</si>
  <si>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</si>
  <si>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</si>
  <si>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</si>
  <si>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</si>
  <si>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</si>
  <si>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</si>
  <si>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</si>
  <si>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</si>
  <si>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</si>
  <si>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</si>
  <si>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</si>
  <si>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</si>
  <si>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</si>
  <si>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</si>
  <si>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</si>
  <si>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</si>
  <si>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</si>
  <si>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</si>
  <si>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</si>
  <si>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</si>
  <si>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</si>
  <si>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</si>
  <si>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</si>
  <si>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</si>
  <si>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</si>
  <si>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</si>
  <si>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</si>
  <si>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</si>
  <si>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</si>
  <si>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</si>
  <si>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</si>
  <si>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</si>
  <si>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</si>
  <si>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</si>
  <si>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</si>
  <si>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</si>
  <si>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</si>
  <si>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</si>
  <si>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</si>
  <si>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</si>
  <si>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</si>
  <si>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</si>
  <si>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</si>
  <si>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</si>
  <si>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</si>
  <si>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</si>
  <si>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</si>
  <si>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</si>
  <si>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</si>
  <si>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</si>
  <si>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</si>
  <si>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</si>
  <si>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</si>
  <si>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</si>
  <si>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</si>
  <si>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</si>
  <si>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</si>
  <si>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</si>
  <si>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</si>
  <si>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</si>
  <si>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</si>
  <si>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</si>
  <si>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</si>
  <si>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</si>
  <si>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</si>
  <si>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</si>
  <si>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</si>
  <si>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</si>
  <si>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</si>
  <si>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</si>
  <si>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</si>
  <si>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</si>
  <si>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</si>
  <si>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</si>
  <si>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</si>
  <si>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</si>
  <si>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</si>
  <si>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</si>
  <si>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</si>
  <si>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</si>
  <si>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</si>
  <si>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</si>
  <si>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</si>
  <si>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</si>
  <si>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</si>
  <si>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</si>
  <si>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</si>
  <si>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</si>
  <si>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</si>
  <si>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</si>
  <si>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</si>
  <si>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</si>
  <si>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</si>
  <si>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</si>
  <si>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</si>
  <si>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</si>
  <si>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</si>
  <si>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</si>
  <si>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</si>
  <si>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</si>
  <si>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</si>
  <si>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</si>
  <si>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</si>
  <si>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</si>
  <si>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</si>
  <si>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</si>
  <si>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</si>
  <si>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</si>
  <si>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</si>
  <si>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</si>
  <si>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</si>
  <si>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</si>
  <si>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</si>
  <si>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</si>
  <si>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</si>
  <si>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</si>
  <si>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</si>
  <si>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</si>
  <si>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</si>
  <si>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</si>
  <si>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</si>
  <si>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</si>
  <si>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</si>
  <si>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</si>
  <si>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</si>
  <si>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</si>
  <si>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</si>
  <si>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</si>
  <si>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</si>
  <si>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</si>
  <si>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</si>
  <si>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</si>
  <si>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</si>
  <si>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</si>
  <si>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</si>
  <si>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</si>
  <si>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</si>
  <si>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</si>
  <si>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</si>
  <si>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</si>
  <si>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</si>
  <si>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</si>
  <si>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</si>
  <si>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</si>
  <si>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</si>
  <si>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</si>
  <si>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</si>
  <si>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</si>
  <si>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</si>
  <si>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</si>
  <si>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</si>
  <si>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</si>
  <si>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</si>
  <si>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</si>
  <si>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</si>
  <si>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</si>
  <si>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</si>
  <si>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</si>
  <si>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</si>
  <si>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</si>
  <si>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</si>
  <si>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</si>
  <si>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</si>
  <si>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</si>
  <si>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</si>
  <si>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</si>
  <si>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</si>
  <si>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</si>
  <si>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</si>
  <si>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</si>
  <si>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</si>
  <si>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</si>
  <si>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</si>
  <si>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</si>
  <si>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</si>
  <si>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</si>
  <si>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</si>
  <si>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</si>
  <si>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</si>
  <si>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</si>
  <si>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</si>
  <si>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</si>
  <si>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</si>
  <si>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</si>
  <si>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</si>
  <si>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</si>
  <si>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</si>
  <si>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</si>
  <si>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</si>
  <si>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</si>
  <si>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</si>
  <si>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</si>
  <si>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</si>
  <si>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</si>
  <si>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</si>
  <si>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</si>
  <si>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</si>
  <si>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</si>
  <si>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</si>
  <si>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</si>
  <si>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</si>
  <si>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</si>
  <si>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</si>
  <si>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</si>
  <si>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</si>
  <si>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</si>
  <si>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</si>
  <si>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</si>
  <si>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</si>
  <si>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</si>
  <si>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</si>
  <si>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</si>
  <si>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</si>
  <si>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</si>
  <si>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</si>
  <si>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</si>
  <si>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</si>
  <si>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</si>
  <si>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</si>
  <si>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</si>
  <si>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</si>
  <si>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</si>
  <si>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</si>
  <si>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</si>
  <si>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</si>
  <si>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</si>
  <si>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</si>
  <si>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</si>
  <si>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</si>
  <si>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</si>
  <si>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</si>
  <si>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</si>
  <si>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</si>
  <si>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</si>
  <si>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</si>
  <si>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</si>
  <si>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</si>
  <si>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</si>
  <si>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</si>
  <si>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</si>
  <si>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</si>
  <si>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</si>
  <si>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</si>
  <si>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</si>
  <si>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</si>
  <si>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</si>
  <si>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</si>
  <si>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</si>
  <si>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</si>
  <si>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</si>
  <si>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</si>
  <si>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</si>
  <si>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</si>
  <si>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</si>
  <si>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</si>
  <si>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</si>
  <si>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</si>
  <si>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</si>
  <si>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</si>
  <si>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</si>
  <si>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</si>
  <si>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</si>
  <si>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</si>
  <si>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</si>
  <si>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</si>
  <si>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</si>
  <si>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</si>
  <si>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</si>
  <si>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</si>
  <si>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</si>
  <si>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</si>
  <si>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</si>
  <si>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</si>
  <si>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</si>
  <si>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</si>
  <si>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</si>
  <si>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</si>
  <si>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</si>
  <si>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</si>
  <si>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</si>
  <si>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</si>
  <si>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</si>
  <si>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</si>
  <si>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</si>
  <si>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</si>
  <si>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</si>
  <si>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</si>
  <si>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</si>
  <si>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</si>
  <si>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</si>
  <si>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</si>
  <si>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</si>
  <si>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</si>
  <si>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</si>
  <si>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</si>
  <si>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</si>
  <si>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</si>
  <si>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</si>
  <si>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</si>
  <si>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</si>
  <si>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</si>
  <si>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</si>
  <si>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</si>
  <si>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</si>
  <si>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</si>
  <si>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</si>
  <si>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</si>
  <si>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</si>
  <si>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</si>
  <si>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</si>
  <si>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</si>
  <si>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</si>
  <si>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</si>
  <si>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</si>
  <si>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</si>
  <si>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</si>
  <si>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</si>
  <si>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</si>
  <si>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</si>
  <si>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</si>
  <si>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</si>
  <si>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</si>
  <si>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</si>
  <si>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</si>
  <si>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</si>
  <si>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</si>
  <si>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</si>
  <si>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</si>
  <si>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</si>
  <si>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</si>
  <si>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</si>
  <si>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</si>
  <si>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</si>
  <si>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</si>
  <si>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</si>
  <si>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</si>
  <si>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</si>
  <si>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</si>
  <si>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</si>
  <si>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</si>
  <si>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</si>
  <si>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</si>
  <si>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</si>
  <si>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</si>
  <si>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</si>
  <si>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</si>
  <si>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</si>
  <si>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</si>
  <si>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</si>
  <si>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</si>
  <si>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</si>
  <si>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</si>
  <si>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</si>
  <si>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</si>
  <si>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</si>
  <si>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</si>
  <si>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</si>
  <si>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</si>
  <si>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</si>
  <si>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</si>
  <si>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</si>
  <si>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</si>
  <si>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</si>
  <si>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</si>
  <si>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</si>
  <si>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</si>
  <si>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</si>
  <si>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</si>
  <si>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</si>
  <si>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</si>
  <si>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</si>
  <si>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</si>
  <si>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</si>
  <si>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</si>
  <si>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</si>
  <si>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</si>
  <si>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</si>
  <si>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</si>
  <si>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</si>
  <si>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</si>
  <si>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</si>
  <si>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</si>
  <si>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</si>
  <si>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</si>
  <si>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</si>
  <si>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</si>
  <si>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</si>
  <si>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</si>
  <si>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</si>
  <si>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</si>
  <si>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</si>
  <si>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</si>
  <si>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</si>
  <si>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</si>
  <si>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</si>
  <si>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</si>
  <si>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</si>
  <si>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</si>
  <si>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</si>
  <si>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</si>
  <si>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</si>
  <si>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</si>
  <si>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</si>
  <si>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</si>
  <si>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</si>
  <si>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</si>
  <si>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</si>
  <si>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</si>
  <si>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</si>
  <si>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</si>
  <si>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</si>
  <si>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</si>
  <si>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</si>
  <si>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</si>
  <si>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</si>
  <si>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</si>
  <si>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</si>
  <si>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</si>
  <si>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</si>
  <si>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</si>
  <si>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</si>
  <si>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</si>
  <si>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</si>
  <si>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</si>
  <si>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</si>
  <si>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</si>
  <si>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</si>
  <si>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</si>
  <si>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</si>
  <si>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</si>
  <si>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</si>
  <si>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</si>
  <si>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</si>
  <si>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</si>
  <si>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</si>
  <si>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</si>
  <si>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</si>
  <si>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</si>
  <si>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</si>
  <si>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</si>
  <si>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</si>
  <si>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</si>
  <si>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</si>
  <si>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</si>
  <si>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</si>
  <si>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</si>
  <si>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</si>
  <si>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</si>
  <si>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</si>
  <si>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</si>
  <si>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</si>
  <si>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</si>
  <si>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</si>
  <si>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</si>
  <si>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</si>
  <si>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</si>
  <si>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</si>
  <si>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</si>
  <si>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</si>
  <si>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</si>
  <si>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</si>
  <si>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</si>
  <si>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</si>
  <si>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</si>
  <si>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</si>
  <si>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</si>
  <si>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</si>
  <si>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</si>
  <si>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</si>
  <si>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</si>
  <si>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</si>
  <si>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</si>
  <si>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</si>
  <si>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</si>
  <si>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</si>
  <si>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</si>
  <si>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</si>
  <si>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</si>
  <si>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</si>
  <si>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</si>
  <si>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</si>
  <si>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</si>
  <si>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</si>
  <si>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</si>
  <si>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</si>
  <si>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</si>
  <si>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</si>
  <si>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</si>
  <si>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</si>
  <si>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</si>
  <si>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</si>
  <si>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</si>
  <si>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</si>
  <si>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</si>
  <si>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</si>
  <si>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</si>
  <si>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</si>
  <si>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</si>
  <si>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</si>
  <si>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</si>
  <si>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</si>
  <si>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</si>
  <si>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</si>
  <si>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</si>
  <si>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</si>
  <si>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</si>
  <si>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</si>
  <si>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</si>
  <si>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</si>
  <si>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</si>
  <si>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</si>
  <si>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</si>
  <si>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</si>
  <si>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</si>
  <si>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</si>
  <si>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</si>
  <si>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</si>
  <si>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</si>
  <si>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</si>
  <si>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</si>
  <si>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</si>
  <si>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</si>
  <si>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</si>
  <si>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</si>
  <si>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</si>
  <si>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</si>
  <si>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</si>
  <si>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</si>
  <si>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</si>
  <si>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</si>
  <si>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</si>
  <si>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</si>
  <si>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</si>
  <si>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</si>
  <si>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</si>
  <si>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</si>
  <si>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</si>
  <si>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</si>
  <si>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</si>
  <si>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</si>
  <si>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</si>
  <si>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</si>
  <si>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</si>
  <si>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</si>
  <si>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</si>
  <si>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</si>
  <si>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</si>
  <si>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</si>
  <si>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</si>
  <si>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</si>
  <si>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</si>
  <si>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</si>
  <si>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</si>
  <si>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</si>
  <si>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</si>
  <si>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</si>
  <si>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</si>
  <si>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</si>
  <si>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</si>
  <si>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</si>
  <si>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</si>
  <si>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</si>
  <si>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</si>
  <si>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</si>
  <si>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</si>
  <si>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</si>
  <si>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</si>
  <si>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</si>
  <si>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</si>
  <si>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</si>
  <si>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</si>
  <si>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</si>
  <si>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</si>
  <si>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</si>
  <si>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</si>
  <si>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</si>
  <si>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</si>
  <si>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</si>
  <si>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</si>
  <si>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</si>
  <si>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</si>
  <si>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</si>
  <si>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</si>
  <si>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</si>
  <si>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</si>
  <si>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</si>
  <si>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</si>
  <si>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</si>
  <si>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</si>
  <si>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</si>
  <si>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</si>
  <si>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</si>
  <si>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</si>
  <si>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</si>
  <si>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</si>
  <si>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</si>
  <si>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</si>
  <si>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</si>
  <si>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</si>
  <si>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</si>
  <si>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</si>
  <si>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</si>
  <si>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</si>
  <si>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</si>
  <si>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</si>
  <si>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</si>
  <si>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</si>
  <si>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</si>
  <si>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</si>
  <si>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</si>
  <si>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</si>
  <si>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</si>
  <si>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</si>
  <si>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</si>
  <si>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</si>
  <si>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</si>
  <si>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</si>
  <si>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</si>
  <si>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</si>
  <si>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</si>
  <si>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</si>
  <si>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</si>
  <si>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</si>
  <si>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</si>
  <si>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</si>
  <si>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</si>
  <si>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</si>
  <si>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</si>
  <si>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</si>
  <si>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</si>
  <si>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</si>
  <si>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</si>
  <si>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</si>
  <si>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</si>
  <si>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</si>
  <si>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</si>
  <si>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</si>
  <si>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</si>
  <si>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</si>
  <si>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</si>
  <si>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</si>
  <si>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</si>
  <si>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</si>
  <si>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</si>
  <si>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</si>
  <si>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</si>
  <si>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</si>
  <si>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</si>
  <si>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</si>
  <si>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</si>
  <si>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</si>
  <si>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</si>
  <si>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</si>
  <si>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</si>
  <si>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</si>
  <si>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</si>
  <si>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</si>
  <si>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</si>
  <si>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</si>
  <si>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</si>
  <si>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</si>
  <si>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</si>
  <si>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</si>
  <si>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</si>
  <si>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</si>
  <si>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</si>
  <si>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</si>
  <si>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</si>
  <si>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</si>
  <si>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</si>
  <si>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</si>
  <si>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</si>
  <si>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</si>
  <si>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</si>
  <si>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</si>
  <si>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</si>
  <si>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</si>
  <si>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</si>
  <si>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</si>
  <si>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</si>
  <si>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</si>
  <si>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</si>
  <si>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</si>
  <si>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</si>
  <si>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</si>
  <si>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</si>
  <si>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</si>
  <si>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</si>
  <si>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</si>
  <si>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</si>
  <si>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</si>
  <si>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</si>
  <si>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</si>
  <si>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</si>
  <si>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</si>
  <si>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</si>
  <si>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</si>
  <si>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</si>
  <si>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</si>
  <si>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</si>
  <si>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</si>
  <si>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</si>
  <si>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</si>
  <si>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</si>
  <si>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</si>
  <si>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</si>
  <si>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</si>
  <si>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</si>
  <si>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</si>
  <si>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</si>
  <si>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</si>
  <si>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</si>
  <si>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</si>
  <si>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</si>
  <si>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</si>
  <si>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</si>
  <si>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</si>
  <si>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</si>
  <si>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</si>
  <si>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</si>
  <si>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</si>
  <si>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</si>
  <si>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</si>
  <si>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</si>
  <si>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</si>
  <si>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</si>
  <si>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</si>
  <si>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</si>
  <si>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</si>
  <si>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</si>
  <si>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</si>
  <si>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</si>
  <si>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</si>
  <si>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</si>
  <si>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</si>
  <si>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</si>
  <si>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</si>
  <si>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</si>
  <si>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</si>
  <si>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</si>
  <si>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</si>
  <si>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</si>
  <si>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</si>
  <si>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</si>
  <si>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</si>
  <si>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</si>
  <si>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</si>
  <si>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</si>
  <si>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</si>
  <si>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</si>
  <si>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</si>
  <si>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</si>
  <si>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</si>
  <si>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</si>
  <si>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</si>
  <si>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</si>
  <si>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</si>
  <si>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</si>
  <si>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</si>
  <si>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</si>
  <si>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</si>
  <si>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</si>
  <si>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</si>
  <si>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</si>
  <si>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</si>
  <si>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</si>
  <si>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</si>
  <si>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</si>
  <si>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</si>
  <si>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</si>
  <si>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</si>
  <si>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</si>
  <si>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</si>
  <si>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</si>
  <si>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</si>
  <si>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</si>
  <si>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</si>
  <si>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</si>
  <si>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</si>
  <si>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</si>
  <si>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</si>
  <si>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</si>
  <si>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</si>
  <si>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</si>
  <si>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</si>
  <si>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</si>
  <si>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</si>
  <si>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</si>
  <si>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</si>
  <si>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</si>
  <si>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</si>
  <si>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</si>
  <si>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</si>
  <si>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</si>
  <si>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</si>
  <si>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</si>
  <si>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</si>
  <si>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</si>
  <si>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</si>
  <si>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</si>
  <si>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</si>
  <si>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</si>
  <si>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</si>
  <si>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</si>
  <si>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</si>
  <si>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</si>
  <si>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</si>
  <si>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</si>
  <si>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</si>
  <si>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</si>
  <si>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</si>
  <si>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</si>
  <si>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</si>
  <si>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</si>
  <si>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</si>
  <si>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</si>
  <si>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</si>
  <si>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</si>
  <si>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</si>
  <si>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</si>
  <si>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</si>
  <si>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</si>
  <si>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</si>
  <si>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</si>
  <si>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</si>
  <si>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</si>
  <si>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</si>
  <si>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</si>
  <si>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</si>
  <si>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</si>
  <si>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</si>
  <si>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</si>
  <si>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</si>
  <si>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</si>
  <si>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</si>
  <si>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</si>
  <si>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</si>
  <si>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</si>
  <si>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</si>
  <si>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</si>
  <si>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</si>
  <si>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</si>
  <si>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</si>
  <si>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</si>
  <si>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</si>
  <si>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</si>
  <si>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</si>
  <si>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</si>
  <si>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</si>
  <si>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</si>
  <si>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</si>
  <si>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</si>
  <si>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</si>
  <si>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</si>
  <si>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</si>
  <si>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</si>
  <si>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</si>
  <si>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</si>
  <si>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</si>
  <si>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</si>
  <si>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</si>
  <si>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</si>
  <si>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</si>
  <si>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</si>
  <si>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</si>
  <si>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</si>
  <si>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</si>
  <si>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</si>
  <si>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</si>
  <si>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</si>
  <si>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</si>
  <si>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</si>
  <si>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</si>
  <si>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</si>
  <si>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</si>
  <si>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</si>
  <si>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</si>
  <si>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</si>
  <si>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</si>
  <si>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</si>
  <si>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</si>
  <si>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</si>
  <si>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</si>
  <si>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</si>
  <si>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</si>
  <si>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</si>
  <si>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</si>
  <si>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</si>
  <si>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</si>
  <si>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</si>
  <si>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</si>
  <si>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</si>
  <si>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</si>
  <si>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</si>
  <si>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</si>
  <si>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</si>
  <si>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</si>
  <si>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</si>
  <si>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</si>
  <si>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</si>
  <si>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</si>
  <si>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</si>
  <si>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</si>
  <si>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</si>
  <si>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</si>
  <si>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</si>
  <si>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</si>
  <si>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</si>
  <si>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</si>
  <si>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</si>
  <si>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</si>
  <si>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</si>
  <si>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</si>
  <si>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</si>
  <si>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</si>
  <si>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</si>
  <si>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</si>
  <si>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</si>
  <si>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</si>
  <si>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</si>
  <si>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</si>
  <si>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</si>
  <si>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</si>
  <si>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</si>
  <si>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</si>
  <si>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</si>
  <si>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</si>
  <si>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</si>
  <si>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</si>
  <si>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</si>
  <si>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</si>
  <si>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</si>
  <si>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</si>
  <si>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</si>
  <si>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</si>
  <si>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</si>
  <si>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</si>
  <si>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</si>
  <si>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</si>
  <si>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</si>
  <si>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</si>
  <si>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</si>
  <si>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</si>
  <si>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</si>
  <si>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</si>
  <si>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</si>
  <si>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</si>
  <si>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</si>
  <si>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</si>
  <si>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</si>
  <si>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</si>
  <si>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</si>
  <si>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</si>
  <si>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</si>
  <si>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</si>
  <si>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</si>
  <si>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</si>
  <si>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</si>
  <si>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</si>
  <si>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</si>
  <si>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</si>
  <si>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</si>
  <si>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</si>
  <si>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</si>
  <si>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</si>
  <si>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</si>
  <si>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</si>
  <si>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</si>
  <si>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</si>
  <si>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</si>
  <si>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</si>
  <si>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</si>
  <si>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</si>
  <si>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</si>
  <si>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</si>
  <si>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</si>
  <si>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</si>
  <si>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</si>
  <si>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</si>
  <si>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</si>
  <si>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</si>
  <si>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</si>
  <si>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</si>
  <si>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</si>
  <si>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</si>
  <si>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</si>
  <si>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</si>
  <si>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</si>
  <si>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</si>
  <si>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</si>
  <si>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</si>
  <si>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</si>
  <si>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</si>
  <si>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</si>
  <si>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</si>
  <si>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</si>
  <si>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</si>
  <si>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</si>
  <si>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</si>
  <si>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</si>
  <si>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</si>
  <si>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</si>
  <si>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</si>
  <si>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</si>
  <si>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</si>
  <si>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</si>
  <si>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</si>
  <si>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</si>
  <si>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</si>
  <si>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</si>
  <si>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</si>
  <si>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</si>
  <si>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</si>
  <si>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</si>
  <si>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</si>
  <si>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</si>
  <si>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</si>
  <si>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</si>
  <si>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</si>
  <si>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</si>
  <si>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</si>
  <si>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</si>
  <si>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</si>
  <si>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</si>
  <si>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</si>
  <si>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</si>
  <si>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</si>
  <si>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</si>
  <si>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</si>
  <si>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</si>
  <si>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</si>
  <si>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</si>
  <si>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</si>
  <si>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</si>
  <si>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</si>
  <si>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</si>
  <si>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</si>
  <si>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</si>
  <si>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</si>
  <si>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</si>
  <si>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</si>
  <si>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</si>
  <si>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</si>
  <si>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</si>
  <si>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</si>
  <si>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</si>
  <si>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</si>
  <si>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</si>
  <si>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</si>
  <si>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</si>
  <si>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</si>
  <si>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</si>
  <si>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</si>
  <si>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</si>
  <si>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</si>
  <si>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</si>
  <si>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</si>
  <si>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</si>
  <si>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</si>
  <si>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</si>
  <si>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</si>
  <si>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</si>
  <si>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</si>
  <si>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</si>
  <si>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</si>
  <si>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</si>
  <si>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</si>
  <si>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</si>
  <si>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</si>
  <si>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</si>
  <si>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</si>
  <si>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</si>
  <si>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</si>
  <si>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</si>
  <si>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</si>
  <si>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</si>
  <si>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</si>
  <si>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</si>
  <si>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</si>
  <si>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</si>
  <si>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</si>
  <si>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</si>
  <si>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</si>
  <si>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</si>
  <si>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</si>
  <si>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</si>
  <si>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</si>
  <si>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</si>
  <si>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</si>
  <si>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</si>
  <si>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</si>
  <si>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</si>
  <si>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</si>
  <si>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</si>
  <si>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</si>
  <si>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</si>
  <si>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</si>
  <si>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</si>
  <si>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</si>
  <si>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</si>
  <si>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</si>
  <si>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</si>
  <si>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</si>
  <si>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</si>
  <si>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</si>
  <si>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</si>
  <si>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</si>
  <si>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</si>
  <si>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</si>
  <si>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</si>
  <si>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</si>
  <si>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</si>
  <si>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</si>
  <si>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</si>
  <si>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</si>
  <si>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</si>
  <si>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</si>
  <si>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</si>
  <si>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</si>
  <si>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</si>
  <si>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</si>
  <si>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</si>
  <si>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</si>
  <si>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</si>
  <si>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</si>
  <si>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</si>
  <si>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</si>
  <si>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</si>
  <si>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</si>
  <si>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</si>
  <si>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</si>
  <si>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</si>
  <si>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</si>
  <si>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</si>
  <si>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</si>
  <si>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</si>
  <si>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</si>
  <si>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</si>
  <si>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</si>
  <si>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</si>
  <si>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</si>
  <si>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</si>
  <si>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</si>
  <si>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</si>
  <si>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</si>
  <si>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</si>
  <si>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</si>
  <si>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</si>
  <si>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</si>
  <si>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</si>
  <si>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</si>
  <si>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</si>
  <si>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</si>
  <si>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</si>
  <si>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</si>
  <si>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</si>
  <si>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</si>
  <si>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</si>
  <si>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</si>
  <si>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</si>
  <si>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</si>
  <si>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</si>
  <si>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</si>
  <si>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</si>
  <si>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</si>
  <si>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</si>
  <si>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</si>
  <si>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</si>
  <si>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</si>
  <si>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</si>
  <si>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</si>
  <si>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</si>
  <si>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</si>
  <si>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</si>
  <si>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</si>
  <si>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</si>
  <si>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</si>
  <si>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</si>
  <si>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</si>
  <si>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</si>
  <si>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</si>
  <si>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</si>
  <si>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</si>
  <si>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</si>
  <si>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</si>
  <si>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</si>
  <si>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</si>
  <si>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</si>
  <si>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</si>
  <si>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</si>
  <si>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</si>
  <si>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</si>
  <si>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</si>
  <si>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</si>
  <si>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</si>
  <si>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</si>
  <si>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</si>
  <si>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</si>
  <si>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</si>
  <si>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</si>
  <si>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</si>
  <si>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</si>
  <si>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</si>
  <si>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</si>
  <si>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</si>
  <si>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</si>
  <si>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</si>
  <si>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</si>
  <si>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</si>
  <si>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</si>
  <si>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</si>
  <si>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</si>
  <si>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</si>
  <si>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</si>
  <si>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</si>
  <si>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</si>
  <si>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</si>
  <si>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</si>
  <si>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</si>
  <si>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</si>
  <si>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</si>
  <si>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</si>
  <si>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</si>
  <si>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</si>
  <si>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</si>
  <si>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</si>
  <si>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</si>
  <si>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</si>
  <si>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</si>
  <si>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</si>
  <si>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</si>
  <si>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</si>
  <si>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</si>
  <si>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</si>
  <si>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</si>
  <si>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</si>
  <si>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</si>
  <si>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</si>
  <si>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</si>
  <si>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</si>
  <si>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</si>
  <si>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</si>
  <si>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</si>
  <si>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</si>
  <si>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</si>
  <si>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</si>
  <si>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</si>
  <si>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</si>
  <si>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</si>
  <si>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</si>
  <si>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</si>
  <si>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</si>
  <si>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</si>
  <si>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</si>
  <si>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</si>
  <si>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</si>
  <si>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</si>
  <si>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</si>
  <si>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</si>
  <si>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</si>
  <si>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</si>
  <si>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</si>
  <si>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</si>
  <si>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</si>
  <si>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</si>
  <si>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</si>
  <si>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</si>
  <si>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</si>
  <si>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</si>
  <si>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</si>
  <si>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</si>
  <si>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</si>
  <si>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</si>
  <si>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</si>
  <si>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</si>
  <si>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</si>
  <si>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</si>
  <si>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</si>
  <si>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</si>
  <si>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</si>
  <si>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</si>
  <si>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</si>
  <si>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</si>
  <si>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</si>
  <si>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</si>
  <si>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</si>
  <si>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</si>
  <si>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</si>
  <si>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</si>
  <si>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</si>
  <si>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</si>
  <si>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</si>
  <si>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</si>
  <si>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</si>
  <si>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</si>
  <si>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</si>
  <si>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</si>
  <si>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</si>
  <si>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</si>
  <si>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</si>
  <si>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</si>
  <si>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</si>
  <si>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</si>
  <si>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</si>
  <si>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</si>
  <si>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</si>
  <si>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</si>
  <si>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</si>
  <si>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</si>
  <si>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</si>
  <si>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</si>
  <si>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</si>
  <si>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</si>
  <si>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</si>
  <si>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</si>
  <si>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</si>
  <si>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</si>
  <si>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</si>
  <si>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</si>
  <si>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</si>
  <si>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</si>
  <si>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</si>
  <si>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</si>
  <si>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</si>
  <si>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</si>
  <si>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</si>
  <si>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</si>
  <si>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</si>
  <si>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</si>
  <si>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</si>
  <si>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</si>
  <si>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</si>
  <si>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</si>
  <si>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</si>
  <si>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</si>
  <si>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</si>
  <si>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</si>
  <si>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</si>
  <si>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</si>
  <si>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</si>
  <si>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</si>
  <si>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</si>
  <si>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</si>
  <si>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</si>
  <si>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</si>
  <si>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</si>
  <si>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</si>
  <si>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</si>
  <si>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</si>
  <si>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</si>
  <si>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</si>
  <si>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</si>
  <si>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</si>
  <si>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</si>
  <si>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</si>
  <si>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</si>
  <si>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</si>
  <si>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</si>
  <si>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</si>
  <si>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</si>
  <si>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</si>
  <si>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</si>
  <si>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</si>
  <si>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</si>
  <si>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</si>
  <si>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</si>
  <si>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</si>
  <si>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</si>
  <si>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</si>
  <si>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</si>
  <si>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</si>
  <si>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</si>
  <si>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</si>
  <si>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</si>
  <si>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</si>
  <si>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</si>
  <si>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</si>
  <si>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</si>
  <si>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</si>
  <si>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</si>
  <si>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</si>
  <si>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</si>
  <si>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</si>
  <si>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</si>
  <si>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</si>
  <si>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</si>
  <si>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</si>
  <si>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</si>
  <si>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</si>
  <si>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</si>
  <si>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</si>
  <si>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</si>
  <si>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</si>
  <si>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</si>
  <si>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</si>
  <si>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</si>
  <si>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</si>
  <si>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</si>
  <si>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</si>
  <si>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</si>
  <si>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</si>
  <si>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</si>
  <si>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</si>
  <si>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</si>
  <si>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</si>
  <si>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</si>
  <si>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</si>
  <si>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</si>
  <si>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</si>
  <si>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</si>
  <si>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</si>
  <si>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</si>
  <si>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</si>
  <si>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</si>
  <si>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</si>
  <si>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</si>
  <si>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</si>
  <si>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</si>
  <si>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</si>
  <si>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</si>
  <si>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</si>
  <si>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</si>
  <si>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</si>
  <si>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</si>
  <si>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</si>
  <si>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</si>
  <si>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</si>
  <si>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</si>
  <si>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</si>
  <si>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</si>
  <si>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</si>
  <si>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</si>
  <si>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</si>
  <si>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</si>
  <si>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</si>
  <si>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</si>
  <si>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</si>
  <si>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</si>
  <si>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</si>
  <si>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</si>
  <si>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</si>
  <si>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</si>
  <si>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</si>
  <si>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</si>
  <si>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</si>
  <si>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</si>
  <si>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</si>
  <si>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</si>
  <si>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</si>
  <si>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</si>
  <si>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</si>
  <si>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</si>
  <si>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</si>
  <si>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</si>
  <si>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</si>
  <si>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</si>
  <si>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</si>
  <si>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</si>
  <si>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</si>
  <si>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</si>
  <si>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</si>
  <si>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</si>
  <si>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</si>
  <si>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</si>
  <si>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</si>
  <si>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</si>
  <si>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</si>
  <si>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</si>
  <si>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</si>
  <si>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</si>
  <si>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</si>
  <si>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</si>
  <si>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</si>
  <si>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</si>
  <si>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</si>
  <si>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</si>
  <si>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</si>
  <si>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</si>
  <si>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</si>
  <si>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</si>
  <si>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</si>
  <si>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</si>
  <si>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</si>
  <si>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</si>
  <si>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</si>
  <si>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</si>
  <si>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</si>
  <si>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</si>
  <si>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</si>
  <si>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</si>
  <si>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</si>
  <si>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</si>
  <si>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</si>
  <si>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</si>
  <si>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</si>
  <si>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</si>
  <si>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</si>
  <si>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</si>
  <si>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</si>
  <si>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</si>
  <si>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</si>
  <si>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</si>
  <si>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</si>
  <si>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</si>
  <si>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</si>
  <si>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</si>
  <si>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</si>
  <si>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</si>
  <si>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</si>
  <si>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</si>
  <si>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</si>
  <si>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</si>
  <si>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</si>
  <si>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</si>
  <si>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</si>
  <si>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</si>
  <si>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</si>
  <si>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</si>
  <si>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</si>
  <si>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</si>
  <si>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</si>
  <si>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</si>
  <si>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</si>
  <si>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</si>
  <si>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</si>
  <si>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</si>
  <si>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</si>
  <si>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</si>
  <si>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</si>
  <si>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</si>
  <si>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</si>
  <si>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</si>
  <si>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</si>
  <si>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</si>
  <si>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</si>
  <si>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</si>
  <si>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</si>
  <si>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</si>
  <si>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</si>
  <si>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</si>
  <si>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</si>
  <si>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</si>
  <si>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</si>
  <si>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</si>
  <si>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</si>
  <si>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</si>
  <si>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</si>
  <si>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</si>
  <si>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</si>
  <si>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</si>
  <si>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</si>
  <si>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</si>
  <si>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</si>
  <si>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</si>
  <si>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</si>
  <si>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</si>
  <si>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</si>
  <si>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</si>
  <si>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</si>
  <si>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</si>
  <si>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</si>
  <si>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</si>
  <si>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</si>
  <si>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</si>
  <si>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</si>
  <si>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</si>
  <si>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</si>
  <si>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</si>
  <si>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</si>
  <si>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</si>
  <si>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</si>
  <si>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</si>
  <si>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</si>
  <si>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</si>
  <si>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</si>
  <si>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</si>
  <si>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</si>
  <si>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</si>
  <si>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</si>
  <si>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</si>
  <si>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</si>
  <si>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</si>
  <si>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</si>
  <si>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</si>
  <si>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</si>
  <si>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</si>
  <si>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</si>
  <si>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</si>
  <si>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</si>
  <si>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</si>
  <si>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</si>
  <si>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</si>
  <si>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</si>
  <si>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</si>
  <si>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</si>
  <si>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</si>
  <si>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</si>
  <si>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</si>
  <si>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</si>
  <si>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</si>
  <si>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</si>
  <si>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</si>
  <si>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</si>
  <si>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</si>
  <si>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</si>
  <si>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</si>
  <si>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</si>
  <si>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</si>
  <si>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</si>
  <si>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</si>
  <si>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</si>
  <si>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</si>
  <si>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</si>
  <si>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</si>
  <si>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</si>
  <si>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</si>
  <si>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</si>
  <si>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</si>
  <si>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</si>
  <si>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</si>
  <si>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</si>
  <si>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</si>
  <si>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</si>
  <si>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</si>
  <si>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</si>
  <si>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</si>
  <si>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</si>
  <si>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</si>
  <si>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</si>
  <si>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</si>
  <si>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</si>
  <si>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</si>
  <si>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</si>
  <si>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</si>
  <si>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</si>
  <si>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</si>
  <si>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</si>
  <si>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</si>
  <si>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</si>
  <si>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</si>
  <si>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</si>
  <si>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</si>
  <si>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</si>
  <si>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</si>
  <si>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</si>
  <si>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</si>
  <si>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</si>
  <si>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</si>
  <si>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</si>
  <si>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</si>
  <si>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</si>
  <si>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</si>
  <si>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</si>
  <si>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</si>
  <si>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</si>
  <si>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</si>
  <si>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</si>
  <si>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</si>
  <si>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</si>
  <si>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</si>
  <si>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</si>
  <si>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</si>
  <si>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</si>
  <si>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</si>
  <si>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</si>
  <si>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</si>
  <si>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</si>
  <si>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</si>
  <si>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</si>
  <si>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</si>
  <si>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</si>
  <si>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</si>
  <si>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</si>
  <si>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</si>
  <si>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</si>
  <si>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</si>
  <si>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</si>
  <si>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</si>
  <si>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</si>
  <si>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</si>
  <si>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</si>
  <si>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</si>
  <si>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</si>
  <si>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</si>
  <si>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</si>
  <si>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</si>
  <si>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</si>
  <si>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</si>
  <si>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</si>
  <si>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</si>
  <si>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</si>
  <si>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</si>
  <si>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</si>
  <si>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</si>
  <si>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</si>
  <si>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</si>
  <si>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</si>
  <si>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</si>
  <si>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</si>
  <si>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</si>
  <si>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</si>
  <si>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</si>
  <si>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</si>
  <si>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</si>
  <si>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</si>
  <si>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</si>
  <si>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</si>
  <si>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</si>
  <si>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</si>
  <si>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</si>
  <si>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</si>
  <si>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</si>
  <si>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</si>
  <si>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</si>
  <si>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</si>
  <si>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</si>
  <si>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</si>
  <si>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</si>
  <si>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</si>
  <si>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</si>
  <si>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</si>
  <si>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</si>
  <si>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</si>
  <si>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</si>
  <si>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</si>
  <si>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</si>
  <si>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</si>
  <si>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</si>
  <si>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</si>
  <si>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</si>
  <si>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</si>
  <si>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</si>
  <si>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</si>
  <si>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</si>
  <si>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</si>
  <si>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</si>
  <si>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</si>
  <si>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</si>
  <si>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</si>
  <si>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</si>
  <si>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</si>
  <si>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</si>
  <si>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</si>
  <si>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</si>
  <si>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</si>
  <si>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</si>
  <si>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</si>
  <si>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</si>
  <si>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</si>
  <si>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</si>
  <si>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</si>
  <si>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</si>
  <si>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</si>
  <si>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</si>
  <si>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</si>
  <si>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</si>
  <si>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</si>
  <si>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</si>
  <si>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</si>
  <si>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</si>
  <si>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</si>
  <si>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</si>
  <si>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</si>
  <si>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</si>
  <si>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</si>
  <si>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</si>
  <si>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</si>
  <si>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</si>
  <si>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</si>
  <si>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</si>
  <si>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</si>
  <si>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</si>
  <si>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</si>
  <si>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</si>
  <si>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</si>
  <si>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</si>
  <si>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</si>
  <si>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</si>
  <si>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</si>
  <si>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</si>
  <si>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</si>
  <si>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</si>
  <si>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</si>
  <si>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</si>
  <si>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</si>
  <si>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</si>
  <si>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</si>
  <si>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</si>
  <si>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</si>
  <si>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</si>
  <si>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</si>
  <si>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</si>
  <si>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</si>
  <si>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</si>
  <si>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</si>
  <si>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</si>
  <si>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</si>
  <si>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</si>
  <si>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</si>
  <si>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</si>
  <si>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</si>
  <si>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</si>
  <si>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</si>
  <si>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</si>
  <si>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</si>
  <si>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</si>
  <si>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</si>
  <si>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</si>
  <si>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</si>
  <si>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</si>
  <si>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</si>
  <si>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</si>
  <si>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</si>
  <si>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</si>
  <si>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</si>
  <si>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</si>
  <si>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</si>
  <si>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</si>
  <si>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</si>
  <si>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</si>
  <si>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</si>
  <si>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</si>
  <si>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</si>
  <si>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</si>
  <si>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</si>
  <si>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</si>
  <si>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</si>
  <si>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</si>
  <si>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</si>
  <si>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</si>
  <si>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</si>
  <si>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</si>
  <si>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</si>
  <si>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</si>
  <si>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</si>
  <si>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</si>
  <si>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</si>
  <si>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</si>
  <si>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</si>
  <si>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</si>
  <si>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</si>
  <si>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</si>
  <si>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</si>
  <si>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</si>
  <si>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</si>
  <si>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</si>
  <si>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</si>
  <si>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</si>
  <si>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</si>
  <si>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</si>
  <si>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</si>
  <si>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</si>
  <si>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</si>
  <si>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</si>
  <si>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</si>
  <si>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</si>
  <si>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</si>
  <si>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</si>
  <si>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</si>
  <si>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</si>
  <si>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</si>
  <si>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</si>
  <si>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</si>
  <si>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</si>
  <si>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A402</t>
  </si>
  <si>
    <t>Bevacqua</t>
  </si>
  <si>
    <t>Credit</t>
  </si>
  <si>
    <t xml:space="preserve"> Late fee reversal error 4-29-13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</si>
</sst>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A4" sqref="A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41409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45102</v>
      </c>
      <c r="G3" s="55">
        <v>50</v>
      </c>
      <c r="H3" s="32" t="s">
        <v>8201</v>
      </c>
      <c r="I3" s="33" t="str">
        <f t="shared" ref="I3:I66" si="1">IF(ISERROR(VLOOKUP(H3,table,2,0)),"INVALID",VLOOKUP(H3,table,2,0))</f>
        <v>4020</v>
      </c>
      <c r="J3" s="43" t="str">
        <f t="shared" ref="J3:J66" si="2">IF(ISERROR(VLOOKUP(H3,table,3,0)),"",VLOOKUP(H3,table,3,0))</f>
        <v>Late Fee</v>
      </c>
      <c r="K3" s="34" t="s">
        <v>45103</v>
      </c>
      <c r="L3" s="52"/>
      <c r="M3" s="52"/>
      <c r="N3" s="84">
        <f ca="1">TODAY()</f>
        <v>41409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41469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A402</v>
      </c>
      <c r="C2" s="3" t="str">
        <f>'Billing Adjustment'!D3</f>
        <v>01</v>
      </c>
      <c r="D2" t="str">
        <f>'Billing Adjustment'!H3</f>
        <v>LF</v>
      </c>
      <c r="E2" s="59">
        <f>IF('Billing Adjustment'!A3="","",'Billing Adjustment'!A3)</f>
        <v>41409</v>
      </c>
      <c r="F2" s="12" t="str">
        <f>'Billing Adjustment'!K3</f>
        <v xml:space="preserve"> Late fee reversal error 4-29-13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2013-05-15T21:32:32Z</dcterms:modified>
</cp:coreProperties>
</file>